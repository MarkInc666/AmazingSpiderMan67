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5f0129f45e444b9" /></Relationships>
</file>

<file path=xl/workbook.xml><?xml version="1.0" encoding="utf-8"?>
<x:workbook xmlns:x="http://schemas.openxmlformats.org/spreadsheetml/2006/main">
  <x:sheets>
    <x:sheet xmlns:r="http://schemas.openxmlformats.org/officeDocument/2006/relationships" name="Summary" sheetId="1" r:id="R88c0d65645a04647"/>
    <x:sheet xmlns:r="http://schemas.openxmlformats.org/officeDocument/2006/relationships" name="Chapter Plan" sheetId="2" r:id="R7cceebe8494545cc"/>
    <x:sheet xmlns:r="http://schemas.openxmlformats.org/officeDocument/2006/relationships" name="Mini-Wizards" sheetId="3" r:id="R9858b8b3a2de4f53"/>
    <x:sheet xmlns:r="http://schemas.openxmlformats.org/officeDocument/2006/relationships" name="Repurposed Modes" sheetId="4" r:id="R200a28cd274a4847"/>
    <x:sheet xmlns:r="http://schemas.openxmlformats.org/officeDocument/2006/relationships" name="Mode Rules Snapshot" sheetId="5" r:id="R6128c5b3700a4feb"/>
    <x:sheet xmlns:r="http://schemas.openxmlformats.org/officeDocument/2006/relationships" name="Progression Case Files" sheetId="6" r:id="Rb37a130f22ce43b8"/>
    <x:sheet xmlns:r="http://schemas.openxmlformats.org/officeDocument/2006/relationships" name="Active Todos" sheetId="7" r:id="Rad88e0472a93495c"/>
    <x:sheet xmlns:r="http://schemas.openxmlformats.org/officeDocument/2006/relationships" name="Sources" sheetId="8" r:id="Red4dfe5e86754295"/>
    <x:sheet xmlns:r="http://schemas.openxmlformats.org/officeDocument/2006/relationships" name="Chapter Bonuses" sheetId="9" r:id="R65e4513eb899455d"/>
    <x:sheet xmlns:r="http://schemas.openxmlformats.org/officeDocument/2006/relationships" name="Mode Balance" sheetId="10" r:id="Rce5f05f276754c83"/>
    <x:sheet xmlns:r="http://schemas.openxmlformats.org/officeDocument/2006/relationships" name="Player Var Cleanup" sheetId="11" r:id="R75796648cadc42fd"/>
    <x:sheet xmlns:r="http://schemas.openxmlformats.org/officeDocument/2006/relationships" name="Implementation Status" sheetId="12" r:id="Ref5bf6f925a94378"/>
    <x:sheet xmlns:r="http://schemas.openxmlformats.org/officeDocument/2006/relationships" name="Music Inventory" sheetId="13" r:id="R025df34039ce473d"/>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7">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D9EAF7"/>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101">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0"/>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wrapText="1"/>
    </x:xf>
    <x:xf numFmtId="0" fontId="0" fillId="14" borderId="0" xfId="0" applyNumberFormat="1" applyFont="1" applyFill="1" applyBorder="1"/>
    <x:xf numFmtId="0" fontId="3"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ff5669407024eb7" /><Relationship Type="http://schemas.openxmlformats.org/officeDocument/2006/relationships/theme" Target="/xl/theme/theme1.xml" Id="Rfe055f5009964452" /><Relationship Type="http://schemas.openxmlformats.org/officeDocument/2006/relationships/sharedStrings" Target="/xl/sharedStrings.xml" Id="Rdfd151fcbb64442b" /><Relationship Type="http://schemas.openxmlformats.org/officeDocument/2006/relationships/worksheet" Target="/xl/worksheets/sheet1.xml" Id="R88c0d65645a04647" /><Relationship Type="http://schemas.openxmlformats.org/officeDocument/2006/relationships/worksheet" Target="/xl/worksheets/sheet2.xml" Id="R7cceebe8494545cc" /><Relationship Type="http://schemas.openxmlformats.org/officeDocument/2006/relationships/worksheet" Target="/xl/worksheets/sheet3.xml" Id="R9858b8b3a2de4f53" /><Relationship Type="http://schemas.openxmlformats.org/officeDocument/2006/relationships/worksheet" Target="/xl/worksheets/sheet4.xml" Id="R200a28cd274a4847" /><Relationship Type="http://schemas.openxmlformats.org/officeDocument/2006/relationships/worksheet" Target="/xl/worksheets/sheet5.xml" Id="R6128c5b3700a4feb" /><Relationship Type="http://schemas.openxmlformats.org/officeDocument/2006/relationships/worksheet" Target="/xl/worksheets/sheet6.xml" Id="Rb37a130f22ce43b8" /><Relationship Type="http://schemas.openxmlformats.org/officeDocument/2006/relationships/worksheet" Target="/xl/worksheets/sheet7.xml" Id="Rad88e0472a93495c" /><Relationship Type="http://schemas.openxmlformats.org/officeDocument/2006/relationships/worksheet" Target="/xl/worksheets/sheet8.xml" Id="Red4dfe5e86754295" /><Relationship Type="http://schemas.openxmlformats.org/officeDocument/2006/relationships/worksheet" Target="/xl/worksheets/sheet9.xml" Id="R65e4513eb899455d" /><Relationship Type="http://schemas.openxmlformats.org/officeDocument/2006/relationships/worksheet" Target="/xl/worksheets/sheet10.xml" Id="Rce5f05f276754c83" /><Relationship Type="http://schemas.openxmlformats.org/officeDocument/2006/relationships/worksheet" Target="/xl/worksheets/sheet11.xml" Id="R75796648cadc42fd" /><Relationship Type="http://schemas.openxmlformats.org/officeDocument/2006/relationships/worksheet" Target="/xl/worksheets/sheet12.xml" Id="Ref5bf6f925a94378" /><Relationship Type="http://schemas.openxmlformats.org/officeDocument/2006/relationships/worksheet" Target="/xl/worksheets/sheet13.xml" Id="R025df34039ce473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str">
        <x:v>ASM67 Spider-Man 1967 — Complete 67-Mode Tracker</x:v>
      </x:c>
      <x:c r="B1" s="1" t="n"/>
      <x:c r="C1" s="1" t="n"/>
      <x:c r="D1" s="1" t="n"/>
      <x:c r="E1" s="1" t="n"/>
      <x:c r="F1" s="1" t="n"/>
    </x:row>
    <x:row r="2">
      <x:c r="A2" s="85" t="inlineStr">
        <x:is>
          <x:t xml:space="preserve">Project status</x:t>
        </x:is>
      </x:c>
      <x:c r="B2" s="85" t="str">
        <x:v>Current roster authority: villain_progression.py defines 11 chapters with five active villains each.</x:v>
      </x:c>
      <x:c r="C2" s="85" t="n"/>
      <x:c r="D2" s="85" t="inlineStr">
        <x:is>
          <x:t xml:space="preserve">Chapters</x:t>
        </x:is>
      </x:c>
      <x:c r="E2" s="85" t="n">
        <x:v>11</x:v>
      </x:c>
    </x:row>
    <x:row r="3">
      <x:c r="A3" s="10" t="inlineStr">
        <x:is>
          <x:t xml:space="preserve">Chapter structure</x:t>
        </x:is>
      </x:c>
      <x:c r="B3" s="85" t="str">
        <x:v>55 regular villains, 11 chapter mini-wizards, and the Kingpin Final Showdown.</x:v>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str">
        <x:v>Regular-villain and wizard implementation status is tracked per mode in the dedicated sheets; physical machine verification remains separate from static implementation status.</x:v>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str">
        <x:v>Tracked modes</x:v>
      </x:c>
      <x:c r="E6" s="85" t="n">
        <x:v>67</x:v>
      </x:c>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str">
        <x:v>Pops build Rage; Smash shots add 25K/50K/75K/100K/150K; all four A/B rollovers collect; bases are 200K–600K, with a 700K sixth jackpot from More Jackpots.</x:v>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str">
        <x:v>Both spinners score after rooftop entry. Upper targets pulse yellow at 20K, light red at 50K for independent 8s timers (12s More Time); hit any target while all three are red to add a ball.</x:v>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str">
        <x:v>Travelling sparks use separate lower/upper timing: lower 5s (8s Shot Assist), upper spinner/targets 10s (13s Shot Assist). Value falls 10K each 1s lower or 2s upper; More Time doubles those intervals. Final Super is 10s lower or 15s upper. A final saucer Super is held through the villain summary, then kicked out.</x:v>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str">
        <x:v>Implemented / reviewed; 20s right-bank rooftop route needs machine test</x:v>
      </x:c>
      <x:c r="H7" s="31" t="str">
        <x:v>Rollovers lock arms; completing the left bank locks one arm and relights the web jackpot; spinner boosts the multiplier. Every collected web jackpot adds 100K to persistent doc_ock_bonus as BREAKOUT BONUS. Free-arm lane rollovers pulse bright blue, locked-arm rollovers stay solid blue, and the left-bank GI pulses blue while any arm remains free. Completing the right bank opens rooftop access for a full 20 seconds; another completion restarts the window. Spinner shots continue through the VUK to the roof, bypassing lower arm-release shots. The right-bank GI matches the left-bank blue pulse while access is closed, and a blue VUK chaser runs throughout the open window.</x:v>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str">
        <x:v>Implemented / recent eight-shot update / needs playtest</x:v>
      </x:c>
      <x:c r="H8" s="31" t="str">
        <x:v>Eight-location deduction mode with no spinner shots: left/center webs, left/right pops, both drop banks, saucers, and grouped upper targets. Five locations give directional clues, two give the false-location response, and one is the hidden Super. The first attempt cannot collect the Super; every incorrect attempt counts as a Clue Shot. A saucer Super holds through summary.</x:v>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str">
        <x:v>Implemented / recent rule update / needs playtest</x:v>
      </x:c>
      <x:c r="H9" s="31" t="str">
        <x:v>Rooftop entry immediately enables both exits. The upper spinner adds 50K per hit to the pending Sting Jackpot; either exit stages the opposite drop bank. The correct target or timer expiry ends the attempt. One rubber consolation can score per attempt without ending it.</x:v>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str">
        <x:v>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 Lighting update: star-needed GI slowly fades F0F040 to F02040; delivery GI holds teal 406060 with a 250ms F02040 flash every 1.5s; the active left-web insert continues flashing purple.</x:v>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approved lighting update / needs playtest</x:v>
      </x:c>
      <x:c r="H11" s="31" t="str">
        <x:v>2-ball heat-area multiball. Left drops, pops, and right drops light immediately as the three active target zones. Zone hits build the matching saucer jackpot; only the earned saucer lamp flashes. The clear-lens left-bank GI, both pop rings, and clear-lens right-bank GI pulse red together at 500ms on/off while surrounding mode GI stays solid 8080F0 blue. Numeric saucer IDs 1/2/3 and the 2-second eject delay remain.</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1X-2X qualification update / needs playtest</x:v>
      </x:c>
      <x:c r="H12" s="31" t="str">
        <x:v>Each left-bank drop lights its corresponding saucer at 1X; each corresponding upper target lights or upgrades that same saucer to 2X. The lower path keeps the rooftop gate open so the player may collect 1X or pursue the 2X upgrade. The upper spinner builds jackpot value. First jackpot starts the 16s timer; upper targets, spinner, and saucer hits reset it. The third jackpot shows CERBERUS DEFEATED for 2s, but play continues until timer expiry or ball end.</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str">
        <x:v>Implemented / recent timer update / needs playtest</x:v>
      </x:c>
      <x:c r="H14" s="31" t="str">
        <x:v>Three limited-arrow Hunts. Upper entry stages green right-bank targets and red GI; either upper exit prompts the shot. The first staged drop or right-rubber hit starts an 8-second timer for every Hunt, extended to 12 seconds with More Time. Hunt targets remain 1/3/5, then 2/4, then 3. Scoring, arrow economy, helpers, and the 50K-per-remaining-arrow end bonus are unchanged.</x:v>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str">
        <x:v>Implemented / recent More Jackpots update / needs playtest</x:v>
      </x:c>
      <x:c r="H16" s="31" t="str">
        <x:v>Four unique drops score 25K each and add 100K each to the Centaur Jackpot; bank rubbers score 25K. Four drops open the roof gate. Upper entry closes the gate and the upper-left exit holds the post 6s while right targets 2-4 are staged down. Each 6s final (12s More Time) is one-shot: right rubber awards the built Jackpot; target 1 or 5 awards 50K, or the Jackpot with Shot Assist. More Jackpots replaces the old left-rubber half-Jackpot: after attempt one resolves or expires, the roof gate opens for a fixed 12s re-entry window; upper-left exit restages one second one-shot finale. Bigger doubles the Jackpot; Safety Net starts the shared 10s save for each finale.</x:v>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first-reveal timing update / needs playtest</x:v>
      </x:c>
      <x:c r="H19" s="31" t="str">
        <x:v>Five-round reveal/collect mode; More Jackpots adds a sixth. The first unique right drop now reveals the hidden location for 8s at 1M, or 10s with More Time. Later unique drops retain their approved +8/+10/+12/+14s additions and lower the normal Jackpot to 800K/600K/400K/200K; More Time adds 2s to each. STAR remains a repeatable live 4s reveal/add with no value reduction. Standing right drops flash green and hit drops remain solid; right-bank GI pulses; STAR flashes red; revealed locations flash purple; SAUCERS uses only red hole lamps.</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str">
        <x:v>Implemented / VUK route and Ox chase lighting update / needs playtest</x:v>
      </x:c>
      <x:c r="H20" s="31" t="str">
        <x:v>Left drops, pops, and right drops build the matching upper-target jackpots; continued zone hits build 1X-5X multipliers. Upper-spinner spins score 5K and add 50K to Ox; collected rooftop jackpots also add their awards. The first lit rooftop jackpot starts the F0D040 shared VUK/roof-entry chase. It remains active while rooftop jackpots remain, then stops when the third is collected and the existing 80F0F0 center-web Ox chase takes over.</x:v>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1-2-3 saucer progression fix / needs machine playtest</x:v>
      </x:c>
      <x:c r="H21" s="31" t="str">
        <x:v>Drops build the Frozen Diamond value and bank Diamond Bonus. Any right drop starts the moving shipment chase with one available saucer. Completing/resetting the right bank arms the first following right drop to expand the moving window to two saucers, then three, capped at three. STAR freezes only the current available window for 10s, or 15s with More Time. Availability uses only the red hole lamps; green 1/2/3 inserts stay off. One shipment completes normally; More Jackpots requires two.</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str">
        <x:v>Implemented / reviewed; gate-synchronized VUK chase needs machine test</x:v>
      </x:c>
      <x:c r="H22" s="31" t="str">
        <x:v>Two-ball area-lighting multiball. Lock one ball in a saucer, light at least four areas, then collect repeatable VUK Jackpots. The A0A0F0 shared route chase now starts only when Harley opens the rooftop gate and stops exactly when Harley closes it after upper entry, fallback, startup cleanup, or teardown.</x:v>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str">
        <x:v>Implemented / single-drop Stage 1 review patch / needs machine playtest</x:v>
      </x:c>
      <x:c r="H23" s="31" t="str">
        <x:v>Find the Fountain: hit any single left 3-bank drop under the opening timer to score 50K, award the remaining-time speed bonus, reset the bank, and open the rooftop gate. Then make three upper-spinner spins, build the uncapped Fountain Jackpot with upper targets, and collect at center web. Dedicated mode music is Song 54 (conquistador).</x:v>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str">
        <x:v>Implemented / reviewed; needs machine test</x:v>
      </x:c>
      <x:c r="H24" s="31" t="str">
        <x:v>Expanding 15-hit hunt with per-category repeat ladders. The fifteenth hit opens a 20-second Daily Bugle VUK countdown (25 with More Time); lit categories continue scoring. Shot Assist scores/counts the first shot twice.</x:v>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str">
        <x:v>Implemented / reviewed; saved-GI fix needs machine test</x:v>
      </x:c>
      <x:c r="H25" s="31" t="str">
        <x:v>Eight-zone rescue: attacks begin every 5s, each has a 12s timer, saves reset the next attack to 2s, four saves stop new attacks, and three destroyed zones end the mode. Attacked zones flash native inserts plus 100% orange GI; saved zones use solid native inserts plus 75% green GI (00BF00); destroyed zones are dark.</x:v>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starting-ball ownership repair / needs machine playtest</x:v>
      </x:c>
      <x:c r="H26" s="31" t="str">
        <x:v>Musical-memory mode using Left Web, Left Bank rubber, Right Pop, and Right Bank rubber. A lower-saucer start holds that ball through the intro and first WATCH presentation. A Mystery/VUK start cancels the normal VUK eject, holds the VUK ball through WATCH, then fires it for REPEAT. Patterns grow from one note to four, then continue as new four-note patterns until three failures, or four with More Jackpots. Correct notes score 250K, or 300K with Bigger.</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Four base rounds; More JP adds two recovery rounds. Each round presents three choices selected from seven logical shot groups; the three upper targets are one shared choice. All currently available choices flash green identically. Spinner reveals the correct choice for 4s, or 6s with More Time: the correct choice flashes and wrong choices go dark. First wrong scores 20K, removes that choice, and reduces the current Jackpot; the remaining two resume flashing. Second wrong loses the round. Four correct Jackpots defeat Pardo. Summary counts 1st-guess JPs and 2nd-guess JPs.</x:v>
      </x:c>
      <x:c r="H27" s="31" t="str">
        <x:v>Five chances, or seven with More JP. Each chance presents three choices selected from seven logical shot groups; the three upper targets are one shared upper-target group so they can never show conflicting good/bad states. Spinner reveals the correct choice for 4s, or 6s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The main spinner insert flashes white while choices are hidden, turns off during the reveal, and resumes if another reveal is needed.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str">
        <x:v>Implemented / reviewed; VUK chase + status fix need machine test</x:v>
      </x:c>
      <x:c r="H28" s="31" t="str">
        <x:v>2-ball Ruby Heist: one saucer parks a ball and opens the gate; the shared VUK route chase guides the live ball until upper entry, where the 10s/15s Ruby timer begins. Spinners build value, three Rubies qualify one Super, and post-Super Rubies continue until multiball ends. Status messages now use the actual Ruby/Super state.</x:v>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reviewed; Scepter wording fix needs machine test</x:v>
      </x:c>
      <x:c r="H29" s="31" t="str">
        <x:v>Four randomly selected demons appear one at a time every 4s across two webs, two banks, and two pops. Destroying all four starts a 20s scepter phase and opens rooftop access; the VUK scores the 1M Super. The persistent SCEPTER TIME status uses SUPER AT DAILY BUGLE normally, or KILL THE DEMON, COLLECT THE SUPER while the optional fifth demon remains.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reviewed; flicker/status/gate fix needs machine test</x:v>
      </x:c>
      <x:c r="H30" s="31" t="str">
        <x:v>Restore six coordinate-based GI regions before the 40-second timer expires. Each unrestored 404040 region independently flickers full white for 100ms every random 2–5s; restored regions remain solid white. A persistent CITY TIME status shows seconds and restoration progress, then BLACKOUT AT DAILY BUGLE during the More Jackpots VUK finale. The finale opens the rooftop gate once and uses the shared VUK chase. Timer failure uses the corrected summary/cleanup pipeline.</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str">
        <x:v>Implemented / reviewed; white saucer-hole pulse needs machine test</x:v>
      </x:c>
      <x:c r="H31" s="31" t="str">
        <x:v>One green creature area lights at a time from pops, left drops, right drops, ... During the Super phase, all six saucer-hole lamps breathe together through 404040, 808080, FFFFFF, and 808080 at 250ms per step; the green 1/2/3 number inserts remain off.</x:v>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str">
        <x:v>Implemented / reviewed; lifecycle + VUK chase fix needs machine test</x:v>
      </x:c>
      <x:c r="H32" s="31" t="str">
        <x:v>Invisible-target search. Upper targets eliminate false lower drops while the upper spinner builds the Secret Jackpot. Hidden target and reveal progress persist across rooftop visits. Playing state is 1; both Jackpot success and missed/expired failure finish at completed state 2 with different display messages. The shared VUK chase guides each required rooftop return and stops on entry, result, or cleanup. Rooftop access is requested once from Python.</x:v>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str">
        <x:v>Implemented / reviewed; status + lighting fix needs machine test</x:v>
      </x:c>
      <x:c r="H33" s="31" t="str">
        <x:v>Cross-feed circuits: left sling/inlane lights right-side A and the left pop; right sling/inlane lights left-side B and the right pop. Purple 6030A0 GI underlies pulsing qualifier areas. A/B and flashing pops double pulse speed after 4 seconds. Both completed pops light the center-web Super with a four-step white chase that doubles speed after 8 seconds. Persistent Super status follows the live countdown.</x:v>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str">
        <x:v>Oil Pellet Chase: orange E0E040 GI and one flashing green shot sweep left web, left drops, left pop, center web, right pop, and right drops every 4 seconds. Collect five pellets to qualify the 1M reactor-flood VUK Super. More Jackpots leaves two optional higher-value pellets available during the Super.</x:v>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str">
        <x:v>Implemented / reviewed; independent bank-lighting fix needs machine test</x:v>
      </x:c>
      <x:c r="H38" s="31" t="str">
        <x:v>Camera Flash mode: qualify both lower banks, then use the rooftop spinner and unique upper-target boosts to reach 25 flashes. More Jackpots adds a 10-second bonus-spin window. During qualification, each bank cue has independent priority: hitting one bank turns only that bank solid while the opposite bank continues pulsing until hit. Both bank cues stop when rooftop access opens.</x:v>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target-zone pulse fix</x:v>
      </x:c>
      <x:c r="H46" s="31" t="str">
        <x:v>Two-ball area-control multiball. Left pop lights Saucer 1, center web lights Saucer 2, and right pop lights Saucer 3. Both drop banks reset at mode startup and their completed-bank events reset them again for continued play. The left-pop ring, center-web insert, and right-pop ring pulse white to identify the three build targets.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str">
        <x:v>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20s center-web Super for 500K; expiry ends the one allowed attempt. More Time extends the Super window to 25s.</x:v>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str">
        <x:v>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 Upper entry changes the prompt to EXIT LEFT OR RIGHT and pulses both upper-exit GI lamps until an exit is selected.</x:v>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str">
        <x:v>Implemented / recent route-lighting fix</x:v>
      </x:c>
      <x:c r="H53" s="31" t="str">
        <x:v>Vine Invasion: the gate starts open. A five-step chase runs from the spinner insert toward the VUK while roof access is open; the left-lower and spinner GI lamps illuminate together on step 2, followed by left-upper, ramp, and top VUK-side GI. VUK capture clears the chase and changes the spinner GI to a standalone flash. Upper entry starts one of three 30s waves, resets both banks and all lower states, and closes the gate. Each spinner pulse scores 25K, resets the timer, and lights one unique lower shot from 22 objectives. Lit shots pulse; collected shots score 50K and remain dim solid. Waves 1–2 reopen the gate; the third expiry ends the mode. Case Files add a three-shot first spin, 75K jackpots, 40s waves, a first-entry 10s save, and a first-jackpot assist.</x:v>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startup fix</x:v>
      </x:c>
      <x:c r="H54" s="31" t="str">
        <x:v>60-second spinner/drop score attack. Drops score 25K and build a repeatable spinner value by 50K each through seven down; all eight costs 10 seconds and resets both banks. Startup now waits until every Python gameplay handler is registered before resetting the banks, closing the rooftop gate, and starting the timer, scoring, status display, and lighting. Widget uses the existing portrait, bank resets are staggered 300ms, and complete lens-safe lighting/feedback is defined. Needs machine playtest.</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str">
        <x:v>Implemented / recent saucer-lighting fix</x:v>
      </x:c>
      <x:c r="H56" s="31" t="str">
        <x:v>Sky Harbor: hit any saucer to open roof access, guided by the six red saucer-hole lamps rather than the green 1–2–3 inserts. Upper entry starts a limited-flip rooftop assault. Hit all three unique upper targets; the first two award jackpots and the third awards the Super Jackpot, boosted by remaining flips. Repeats score 250K, and running out of flips permits another qualification attempt.</x:v>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str">
        <x:v>No individual Case File powers. Each 1X phase Jackpot = 100K + 20K × the chapter's collected Case Files (0–25 files; +0–500K). 2X phase Jackpots double both base and prep. The rooftop Super is separate at 1M × successful phases and does not receive Wizard Prep.</x:v>
      </x:c>
      <x:c r="G6" s="31" t="str">
        <x:v>Approved/coded from the 2026-09-01 design: repeating 2-ball/VUK-lock wizard with Fiddler, Metal-Eating Monster, Conquistador, Spider-Slayer, and Harley &amp; Clivendon phases; saucers park excess balls; Chapter Case Files add 20K to every 1X phase JP; phase wins build a 1M-per-success rooftop Super. Needs machine playtest and polish.</x:v>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str">
        <x:v>Old Ms. Trubble puzzle gameplay was replaced by the reviewed Ruby Heist: saucer hold, shared VUK route chase, rooftop Ruby targets, spinner builds, one summed Super, and corrected live status messaging.</x:v>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str">
        <x:v>Diamond Smugglers ruleset repurposed for Doctor Cool: drops build Frozen Diamonds; a right drop starts the moving shipment chase; right-bank resets expand availability from one to two to three; STAR freezes only the current available window.</x:v>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str">
        <x:v>Originally a Chapter 5 placeholder; now reviewed as a 15-hit expanding hunt with per-category declining repeat scores and a timed Daily Bugle VUK Jackpot.</x:v>
      </x:c>
    </x:row>
    <x:row r="27">
      <x:c r="A27" s="85" t="inlineStr">
        <x:is>
          <x:t xml:space="preserve">new_chapter_slot</x:t>
        </x:is>
      </x:c>
      <x:c r="B27" s="85" t="inlineStr">
        <x:is>
          <x:t xml:space="preserve">metal_eating_robot</x:t>
        </x:is>
      </x:c>
      <x:c r="C27" s="85" t="inlineStr">
        <x:is>
          <x:t xml:space="preserve">Metal-Eating Monster</x:t>
        </x:is>
      </x:c>
      <x:c r="D27" s="85" t="str">
        <x:v>Originally a Chapter 5 placeholder; now reviewed as an eight-zone overlapping rescue mode. Attacked/saved/destroyed lighting is standardized to 100% flashing orange GI, 75% solid green GI, and dark respectively.</x:v>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str">
        <x:v>Build Rage from pops, build the pending jackpot with Smash shots, then collect at any of the four A/B rollovers.</x:v>
      </x:c>
      <x:c r="G2" s="31" t="str">
        <x:v>Five jackpots defeat Rhino; More Jackpots requires six. A missed Berserk collect ends the mode unless Shot Assist saves it.</x:v>
      </x:c>
      <x:c r="H2" s="31" t="str">
        <x:v>Base jackpots: 200K/300K/400K/500K/600K (700K sixth). Smash additions by Rage: 25K/50K/75K/100K/150K. Bigger Jackpots adds 200K to every base.</x:v>
      </x:c>
      <x:c r="I2" s="31" t="str">
        <x:v>All four A/B lamps flash as jackpot collects; escalating yellow-to-red Rage GI and Berserk presentation retained.</x:v>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str">
        <x:v>Enter the rooftop to start 40 seconds. Hit upper targets to light them red, then use either spinner to collect the combined target values.</x:v>
      </x:c>
      <x:c r="G4" s="31" t="str">
        <x:v>Hit any upper target while all three are red to add a ball. The mode ends at time expiry, or after the resulting multiball ends if time has expired.</x:v>
      </x:c>
      <x:c r="H4" s="31" t="str">
        <x:v>Targets start pulsing yellow at 20K and light pulsing red at 50K for separate 8s timers; More Time gives 12s. Target hits score 50K. Either spinner scores after rooftop entry. Shot Assist lights all three red.</x:v>
      </x:c>
      <x:c r="I4" s="31" t="str">
        <x:v>Yellow/red pulsing target states and yellow-to-blue rooftop GI retained; individual target timers now communicate the active scoring windows.</x:v>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str">
        <x:v>Follow the travelling spark across eight shot groups. Each new spark starts at maximum value. Lower sparks last 5 seconds and decay every second; upper spinner/target sparks last 10 seconds and decay every 2 seconds.</x:v>
      </x:c>
      <x:c r="G5" s="31" t="str">
        <x:v>Collected groups are removed until one final shot remains. The Super lasts 10 seconds on lower shots or 15 seconds on upper shots. Collecting it completes the mode; missing it or ball end stops it. A final saucer Super stays held until the villain summary ends.</x:v>
      </x:c>
      <x:c r="H5" s="31" t="str">
        <x:v>Normal sparks start at 250K, or 300K with Bigger, and fall 10K per decay step to 50K. More Time doubles decay intervals to 2s lower/4s upper. More Jackpots returns the first collected group for one extra normal jackpot. Shot Assist gives 8s lower/13s upper.</x:v>
      </x:c>
      <x:c r="I5" s="31" t="str">
        <x:v>Existing Electro light timing is retained. Gate routing follows upper shots. Ordinary and unlit saucers clear after the normal delay; a final saucer Super kicks out after the summary.</x:v>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str">
        <x:v>Persistent arm-lock, web-jackpot, and breakout progress. Free-arm lane rollovers pulse bright blue; locked-arm rollovers stay solid blue. Left-bank GI pulses slowly in blue while any arm remains free and stops when all four are locked. Right-bank completion now opens a restartable 20-second rooftop window. Upper entry does not close it; VUK entry ejects upstairs. The right-bank GI uses the left bank's blue pulse while closed, and the shared blue route chase remains active for the full open window.</x:v>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str">
        <x:v>Find one hidden Super among eight non-spinner locations: left/center webs, left/right pops, both drop banks, grouped saucers, and grouped upper targets. Five locations give directional clues and two are false locations.</x:v>
      </x:c>
      <x:c r="G8" s="31" t="str">
        <x:v>The first attempted shot cannot be the Super; if necessary, it moves before that attempt resolves. The hidden Super completes the mode. A saucer Super remains held until the villain summary ends.</x:v>
      </x:c>
      <x:c r="H8" s="31" t="str">
        <x:v>Super starts at 1M (1.5M Bigger) with a 100K floor. Incorrect shots score 50K and reduce the Super by 100K, or 50K with More Time. More Jackpots protects the first wrong attempt. Shot Assist removes one false location. Every incorrect attempt counts as a Clue Shot in the summary.</x:v>
      </x:c>
      <x:c r="I8" s="31" t="str">
        <x:v>Existing Mysterio lighting and remaining-shot/Super status stay. Neither spinner is lit or scored by the mode. Ordinary saucer attempts eject after the normal delay; a saucer Super releases after summary.</x:v>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str">
        <x:v>Enter the rooftop to enable both exits immediately. Spin to build the pending Sting Jackpot, then choose an exit to stage one target on the opposite drop bank.</x:v>
      </x:c>
      <x:c r="G9" s="31" t="str">
        <x:v>The correct staged target collects the jackpot and ends the attempt; timer expiry also ends it. A rubber hit awards one consolation per attempt but leaves the timer and target active. Three resolved attempts defeat Scorpion; More Jackpots adds a fourth.</x:v>
      </x:c>
      <x:c r="H9" s="31" t="str">
        <x:v>Base jackpots are 250K/500K/1M/1.5M; each rooftop spinner hit adds 50K. Rubber consolations are 200K/300K/400K/500K. Bigger adds 50%; More Time gives 12s instead of 8s. Shot Assist makes the first rubber consolation use the first attempt's full 250K base, without ending the attempt.</x:v>
      </x:c>
      <x:c r="I9" s="31" t="str">
        <x:v>Before entry, status prompts ENTER ROOFTOP. Rooftop entry flashes both exits and the spinner while displaying the built jackpot. During a staged attack, the chosen bank target and GI flash and the persistent timer remains visible after a rubber award.</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str">
        <x:v>Star-needed GI slowly fades between F0F040 and F02040. Delivery GI is teal 406060 with a 250ms F02040 flash every 1.5s. The red STAR and flashing-purple left-web cues remain.</x:v>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str">
        <x:v>All three target zones light at mode start and remain active. Each zone hit builds and lights its matching saucer jackpot; saucer lamps remain separate from target guidance. Add-a-ball qualifies from zone hit counts. Gameplay and scoring remain unchanged.</x:v>
      </x:c>
      <x:c r="I11" s="31" t="str">
        <x:v>The clear-lens left-bank GI, both pop rings, and clear-lens right-bank GI pulse red together on a synchronized 500ms-on/500ms-off cycle. Green-lensed bank inserts are excluded from the red cue. Surrounding mode GI is solid 8080F0 blue. Numeric saucer ejection and the 2-second hold remain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str">
        <x:v>Hit left-bank drops to light the corresponding saucers at 1X, or enter the rooftop and hit the corresponding upper targets to light or upgrade them to 2X. The upper spinner builds jackpot value.</x:v>
      </x:c>
      <x:c r="G12" s="31" t="str">
        <x:v>Timer expiry or ball end ends active play. Three jackpots only shows a 2-second CERBERUS DEFEATED message; it does not end the mode.</x:v>
      </x:c>
      <x:c r="H12" s="31" t="str">
        <x:v>First jackpot starts a 16s timer (20s More Time). Upper targets, upper spinner, and any saucer hit reset it; lower drops do not. After a collect the gate opens and other lit saucers return to 1X. More Jackpots gives each saucer one retained first collection at the same multiplier; Shot Assist is one use and consumes one collection on the awarded saucer.</x:v>
      </x:c>
      <x:c r="I12" s="31" t="str">
        <x:v>Needs machine playtest. Orange GI retained; red saucer-hole lamps show qualified jackpots and green 1/2/3 inserts show the corresponding 2X upgrades. Lower 1X qualification leaves the rooftop gate available; an upper hit closes it for the return to the lower playfield.</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str">
        <x:v>Three Hunts: targets 1/3/5, then 2/4, then 3. Every Hunt uses an 8s timer, or 12s with More Time. The timer begins on the first staged drop or right-rubber hit. Red GI marks the Hunt; staged inserts stay green.</x:v>
      </x:c>
      <x:c r="I14" s="31" t="str">
        <x:v>Recent timer update; needs machine playtest. Arrows/time status, exit instruction, first-hit timer start, rubber arrow award, Hunt completion, and helper behavior remain implemented.</x:v>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str">
        <x:v>1 ball; optional second staged finale with More Jackpots</x:v>
      </x:c>
      <x:c r="F16" s="31" t="str">
        <x:v>Hit four unique drops to open the gate. Enter the rooftop, take the upper-left exit, and use the post hold to stage right targets 2-4 down for one decisive shot.</x:v>
      </x:c>
      <x:c r="G16" s="31" t="str">
        <x:v>Each finale resolves on the first right rubber/outer-target result or timer expiry. More Jackpots allows one 12s rooftop re-entry and a second staged finale. Otherwise the mode ends after attempt one or on ball end.</x:v>
      </x:c>
      <x:c r="H16" s="31" t="str">
        <x:v>Drops 25K and +100K Jackpot; bank rubbers 25K; right rubber collects the built Jackpot; target 1/5 awards 50K consolation. Bigger = 2X Jackpot; More Time = 12s finale; Safety Net = 10s save; Shot Assist converts target 1/5 to Jackpot.</x:v>
      </x:c>
      <x:c r="I16" s="31" t="str">
        <x:v>Recent More Jackpots redesign implemented. Yellow build pulses, green rooftop route, yellow upper-left exit guidance, red right-bank GI and flashing outer inserts now communicate the route and one-shot finale. Needs machine playtest for gate/post timing and physical colors.</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str">
        <x:v>Pulse green pops to build Rumors. Spend two at the yellow lower spinner to light a red saucer. Collect three schemes, then follow the shared Master Vine route chase to the VUK. The upper spinner is unused.</x:v>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str">
        <x:v>Implemented with amber GI, green pop guidance, red saucers, one-use unlit-saucer Shot Assist, shared summary variables, and the shared Master Vine route chase during the timed VUK phase. The chase stops on the VUK Super, timeout, failure, ball end, or mode stop. Needs machine playtest.</x:v>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The first right drop now gives 8s, or 10s with More Time. STAR remains a repeatable four-second reveal/add.</x:v>
      </x:c>
      <x:c r="G19" s="31" t="str">
        <x:v>Ends after five reveal rounds, or six with More Jackpots; otherwise stops on ball end. When a saucer makes the terminal collect, that ball remains held until the villain summary ends.</x:v>
      </x:c>
      <x:c r="H19" s="31" t="str">
        <x:v>First unique right drop: 8s at 1M, or 10s with More Time. Later unique drops add 8/10/12/14s and lower the normal Jackpot to 800K/600K/400K/200K; More Time adds 2s. STAR adds 4s without lowering value.</x:v>
      </x:c>
      <x:c r="I19" s="31" t="str">
        <x:v>Recent first-reveal timing update; needs machine playtest. Right-bank GI pulses; standing drops flash green and hit drops remain solid; STAR flashes red; revealed white-lens locations flash purple; SAUCERS flashes only the six red hole lamps.</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str">
        <x:v>Build left drops, pops, and right drops to light their matching rooftop jackpots. Continued hits build each zone's 1X-5X multiplier; the upper spinner builds Ox. Collect all three rooftop jackpots, then hit the center web target.</x:v>
      </x:c>
      <x:c r="G20" s="31" t="str">
        <x:v>Ends after the center-web Ox Super is collected; otherwise stops on ball end.</x:v>
      </x:c>
      <x:c r="H20" s="31" t="str">
        <x:v>Zone hits score 25K. Rooftop jackpots start at 100K, or 150K with Bigger, and use the zone multiplier. Spinner spins score 5K and add 50K to Ox; collected rooftop jackpots also add their awards.</x:v>
      </x:c>
      <x:c r="I20" s="31" t="str">
        <x:v>VUK route and Ox chase lighting update; needs machine playtest. The F0D040 shared VUK chase starts when the first rooftop jackpot opens the gate, remains active while rooftop jackpots remain, and stops when the third is collected. The existing 80F0F0 center-web Ox chase then takes over. Both chases are explicitly stopped during cleanup;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str">
        <x:v>Build the Frozen Diamond Jackpot with both drop banks. Any right drop starts a moving one-saucer shipment window. Complete/reset the right bank, then hit the first post-reset right drop to expand the moving window to two saucers; repeat to reach three.</x:v>
      </x:c>
      <x:c r="G21" s="31" t="str">
        <x:v>Collect three correct saucer shipments, or four with More Jackpots; otherwise stops on ball end. A terminal saucer remains held until the villain summary ends.</x:v>
      </x:c>
      <x:c r="H21" s="31" t="str">
        <x:v>Drops score 25K and bank 25K Diamond Bonus. Base Jackpot is 100K; right drops add 25K and left drops add 40K. Bigger uses 200K/+50K/+75K. Wrong saucer scores 10K. STAR banks 100K and freezes the current available window for 10s/15s.</x:v>
      </x:c>
      <x:c r="I21" s="31" t="str">
        <x:v>Recent 1-2-3 saucer progression and red-hole-only lighting fix; needs machine playtest. Moving windows are 1; 1+2; 2+3; 3+1; then all three at maximum. STAR does not make unavailable saucers valid. Green number inserts remain off; red STAR flash and existing summary/device cleanup are preserved.</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str">
        <x:v>Start controlled 2-ball multiball with a delayed autoplunge. Capture one ball in any saucer, then light unique slings, pops, banks, and web areas. Four areas qualify the VUK; up to eight increase its value.</x:v>
      </x:c>
      <x:c r="G22" s="31" t="str">
        <x:v>Repeat lock-build-VUK rounds until Harley multiball reaches one ball or the ball ends. The gate stays open through the delayed VUK kick and closes at upper entry or the 5-second fallback.</x:v>
      </x:c>
      <x:c r="H22" s="31" t="str">
        <x:v>Saucer capture and each unique area score 50K. VUK Jackpots are 100K per lit area, or 150K with Bigger, and add their full value to persistent HARLEY JACKPOTS. More Jackpots retains two areas for the next lock.</x:v>
      </x:c>
      <x:c r="I22" s="31" t="str">
        <x:v>A0A0F0 shared VUK route chase is synchronized to Harley's physical gate lifecycle: gate open starts it; every gate close stops it. Spinner readiness remains separate. Needs machine test.</x:v>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str">
        <x:v>Hit any single left 3-bank drop before time expires to open the rooftop gate. Make three upper-spinner spins to light center web, then collect the Fountain Jackpot before the second timer expires.</x:v>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str">
        <x:v>More Time gives 30-second main timers. More Jackpots relights center web after a two-second jackpot message for a 10-second same-value second collect. Safety Net starts at Fountain readiness. Shot Assist doubles the first upper-target build hit. Stage 1 now advances on the first left-drop hit; dedicated music remains Song 54 (conquistador). Needs machine playtest.</x:v>
      </x:c>
    </x:row>
    <x:row r="24">
      <x:c r="A24" s="31" t="n">
        <x:v>5</x:v>
      </x:c>
      <x:c r="B24" s="31" t="inlineStr">
        <x:is>
          <x:t xml:space="preserve">The Web Tightens</x:t>
        </x:is>
      </x:c>
      <x:c r="C24" s="31" t="inlineStr">
        <x:is>
          <x:t xml:space="preserve">spider_slayer</x:t>
        </x:is>
      </x:c>
      <x:c r="D24" s="31" t="inlineStr">
        <x:is>
          <x:t xml:space="preserve">Spider-Slayer</x:t>
        </x:is>
      </x:c>
      <x:c r="E24" s="31" t="n">
        <x:v>1</x:v>
      </x:c>
      <x:c r="F24" s="31" t="str">
        <x:v>Hit persistent lit categories; each successful hit adds another category. Repeat values decline independently per logical category.</x:v>
      </x:c>
      <x:c r="G24" s="31" t="str">
        <x:v>Slayer Jackpot collected or ball end; an expired VUK countdown closes the gate while lit-category scoring continues.</x:v>
      </x:c>
      <x:c r="H24" s="31" t="str">
        <x:v>15 qualifying hits open the Daily Bugle VUK for 20 seconds (25 with More Time). Shot ladders are 50K/25K/10K/5K, or 75K/50K/25K/10K with Bigger. More Jackpots preserves the full second-hit value; Shot Assist scores/counts the first shot twice.</x:v>
      </x:c>
      <x:c r="I24" s="31" t="str">
        <x:v>All active categories pulse red; the saucer category uses all six red hole lamps. Summary shows collected Jackpot only and omits Hunt Time until the hunt is completed.</x:v>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str">
        <x:v>Reviewed lighting: attacked zones flash native inserts and 100% orange GI every 250ms; saved zones retain solid native inserts with 75% green GI (00BF00); destroyed zones remain dark.</x:v>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Enter a saucer to watch a randomized violin pattern, then repeat it using Left Web, Left Bank rubber, Right Pop, and Right Bank rubber. Successful patterns grow from one note to four; later patterns remain four notes.</x:v>
      </x:c>
      <x:c r="G26" s="31" t="str">
        <x:v>Completing the first pattern defeats Fiddler for progression, but play continues until three failed rounds, or four with More Jackpots; otherwise the attempt stops on ball end.</x:v>
      </x:c>
      <x:c r="H26" s="31" t="str">
        <x:v>Each correct note scores 250K, or 300K with Bigger Jackpots. A clean saucer return replays the current pattern once without erasing correct-note progress.</x:v>
      </x:c>
      <x:c r="I26" s="31" t="str">
        <x:v>Starting-ball ownership repaired; needs machine playtest. A lower-saucer start retains that ball through intro/WATCH. A Mystery/VUK start cancels Mystery and shared eject requests, retains the VUK ball through WATCH, then fires the VUK for REPEAT. Starts with neither device occupied retain the normal saucer prompt.</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flashing choices. The spinner reveals the answer; four correct Hypnosis Jackpots defeat Pardo.</x:v>
      </x:c>
      <x:c r="G27" s="31" t="str">
        <x:v>Four correct Jackpots defeat Pardo. Four base rounds are available; More Jackpots adds two recovery rounds.</x:v>
      </x:c>
      <x:c r="H27" s="31" t="str">
        <x:v>Normal clean Jackpot ladder: 200K/300K/400K/500K. One wrong choice reduces the current Jackpot by 100K. Bigger uses 300K/450K/600K/750K with a 150K first-wrong reduction. Every wrong choice scores 20K. Reveal is 4s, or 6s with More Time.</x:v>
      </x:c>
      <x:c r="I27" s="31" t="str">
        <x:v>Seven logical shot groups; three selected per round. Upper-left/center/right targets are one grouped choice. Available choices flash green identically; first wrong goes dark and the two survivors continue flashing. Spinner reveal flashes only the correct choice and turns wrong choices off. Shot Assist makes all three choices correct in Round 1. Summary stats are 1ST-GUESS JPs and 2ND-GUESS JPs.</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str">
        <x:v>Park a ball in a saucer, follow the VUK chase to the roof, then hit the mapped upper Ruby; spinners build the active award.</x:v>
      </x:c>
      <x:c r="G28" s="31" t="str">
        <x:v>Ends when Fakir multiball returns to one ball.</x:v>
      </x:c>
      <x:c r="H28" s="31" t="str">
        <x:v>Three Ruby Jackpots qualify one Super equal to their combined collected values; post-Super base Rubies continue. The rooftop timer begins only on upper entry.</x:v>
      </x:c>
      <x:c r="I28" s="31" t="str">
        <x:v>Shared green VUK chase runs only while rooftop access is being sought. Live status now reports Ruby/Super state, mapped target, builds, collections, timeouts, and readiness.</x:v>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The shared Master Vine route chase guides the timed final VUK shot during the scepter phase and clears on collect, timeout, or teardown. Status reads SUPER AT DAILY BUGLE, or KILL THE DEMON, COLLECT THE SUPER while the optional 500K demon remains. Needs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Unrestored 404040 regions independently flicker full white for 100ms every random 2–5s; restored regions stay solid white. CITY TIME shows the live countdown and restored count, changing to BLACKOUT AT DAILY BUGLE for the More JP finale. The finale uses one guarded gate-open event and the shared VUK chase. Needs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str">
        <x:v>More Jackpots adds an optional fourth area during the Super; Safety Net ball save; Shot Assist awards the active and next areas. Any-saucer Super guidance now breathes only the six hole lamps through 404040, 808080, FFFFFF, and 808080 at 250ms per step; green number inserts are unused.</x:v>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str">
        <x:v>Persistent cross-visit reveal progress, reconstructed physical drop state, uncapped spinner building, INVISIBLE FORTUNE banking, hurry-up, Case Files, status, and summaries retained. Shared VUK chase runs only while rooftop entry is needed. Success and failure display differently but both mark completed progression. Duplicate YAML gate request removed. Needs machine playtest.</x:v>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str">
        <x:v>More Jackpots lights STAR for 6 seconds and 250K whenever a new objective lights. More Time gives 10-second circuits and a 20-second Super. Safety Net is a 10-second opening save. Shot Assist lights A and B on the first qualifier. Purple GI, qualifier-area pulses, 4-second objective acceleration, an 8-second-delayed center-web chase acceleration, and live Super status are implemented; needs machine playtest.</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str">
        <x:v>More Jackpots scores all five unique right drops, but only the first three add progress and heat. More Time makes overheat grace 8 seconds. Safety Net is a 10-second opening save. Shot Assist drops a random second left target. The shared Master Vine route chase guides the terminal Reactor Super VUK and clears on collect, failure, or teardown; needs machine playtest.</x:v>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str">
        <x:v>Follow one flashing green moving shot across left web, left drops, left pop, center web, right pop, and right drops, reversing every 4 seconds. Collect five Oil Pellets.</x:v>
      </x:c>
      <x:c r="G36" s="31" t="str">
        <x:v>Five pellets open the gate and light the VUK for 20 seconds. A qualified VUK capture immediately cancels pending shared ejects/retries and arms the hold before the eight-band blue flood begins. The ball remains held through the four-second flood and villain summary; flood completion awards 1M.</x:v>
      </x:c>
      <x:c r="H36" s="31" t="str">
        <x:v>Pellets 1-5 score 100K, or 150K with Bigger. More Jackpots adds optional Pellet 6 at 200K and Pellet 7 at 250K; with Bigger too they are 300K and 350K. Wrong shots score only normal game points.</x:v>
      </x:c>
      <x:c r="I36" s="31" t="str">
        <x:v>Implemented with 250ms green moving-shot flash, E0E040 orange GI, Super timer, eight-band flood, status/summary variables, Case Files, VUK hold through flood/summary, and the shared route chase. Needs machine playtest.</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str">
        <x:v>Implemented with custom code, YAML, widget, lighting, status and summary variables; needs on-machine playtest. Drop-bank qualification lighting is independent: the completed bank turns solid and the unhit bank keeps pulsing until its own first hit; both cues clear at rooftop access.</x:v>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At mode start and again on capture, pending shared VUK ejects/retries are cancelled so Ball 1 remains held.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defensive cancellation of pending shared VUK ejects/retries,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str">
        <x:v>Seven authored sets: right bank good / both pops bad; right pop good / left pop and right bank bad; left bank good / spinner and right pop bad; spinner good / left web and left bank bad; left bank good / left web, spinner, and both pops bad; right pop good / both banks bad; right pop good / center web and right bank bad. Good flashes green, bad holds red, neutral is unlit. Any scored shot selects a random different set.</x:v>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str">
        <x:v>Implemented with seven authored no-repeat shot sets, independently controlled left/right pop rings, drop-bank GI indication, fixed closed rooftop gate, status display, 2-second ending hold, Case Files, and summary values; needs on-machine playtest.</x:v>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str">
        <x:v>Implemented with 13 independent pulsing shot shows, player-facing collection ratings (AWESOME!/GREAT!/GOOD!), full-value DEVARGAS GOLD banking, upper-shot gate ownership, neutral device ejects, Case Files, status and summary values; needs on-machine playtest.</x:v>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str">
        <x:v>Complete mirrored pairs in order: Pops, Drop Banks, A+B, then Web Super. One random side scores first and lights its opposite for a timed follow-up. During A+B, both physical inserts for the active letter pulse together and either matching switch counts. More Jackpots inserts left/right upper targets first.</x:v>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str">
        <x:v>Implemented with random source sides, paired lighting, both physical A switches mapped to A and both physical B switches mapped to B, drop-bank rubber support without forced resets, More Jackpots rooftop gate ownership, neutral device handling, Case Files, status, and summary values; needs on-machine playtest.</x:v>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str">
        <x:v>60-second right-bank pursuit. Round 1 allows one hit before the bank sweeps and resets; each later round allows one additional hit, up to five. Find all five unique outlaws: new targets score 200K, repeats 50K, and the left bank adds 10 seconds. Incomplete green-lens inserts pulse bright/dim green; completed targets remain solid green across resets. Status shows round, time, unique targets, and current-round hits. The rooftop gate closes at start and unexpected VUK balls eject. Progression exclusively owns stop and summary sequencing. Case Files: More JP adds a 500K final showdown; Bigger scores 250K/75K; More Time starts at 70s; Safety Net starts a 10s save; Shot Assist spots another unique target in round 2. Coded and validated; needs on-machine playtest.</x:v>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str">
        <x:v>Complete left 1-3, then right 1-5 in order. After the startup bank reset, the rooftop gate opens and remains open while the upper spinner is needed; each spin drops the next target. A correct direct hit also advances. A wrong direct hit resets only that bank and restores its completed targets after 200ms, with 200ms staged re-drops.</x:v>
      </x:c>
      <x:c r="G50" s="31" t="str">
        <x:v>After all eight drops, the center web is lit for 20s. Center Super defeats Skymaster. Expiry ends the mode unsuccessfully with no second attempt. More Jackpots also lights the left web; each web can score once.</x:v>
      </x:c>
      <x:c r="H50" s="31" t="str">
        <x:v>Correct drops 100K; center/left web Supers 500K. Bigger: 150K drops and 750K Supers. More Time: 25s. Safety: opening 10s save. Assist: first upper spin advances two drops.</x:v>
      </x:c>
      <x:c r="I50" s="31" t="str">
        <x:v>Implemented with all eight physical drop coils, programmatic-switch guards, strict direct-hit validation, 200ms bank restoration staging, explicit ordered-phase rooftop gate ownership, VUK shared eject handling, gate closure for the Web Super and mode stop, target/web lighting, one-attempt timer, Case Files, status, and summary values; needs on-machine playtest.</x:v>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str">
        <x:v>Implemented rewrite. Both complete pop-bumper lamp rings pulse green throughout the mode. Starts in PLAYING state; only VUK Super collection posts completion. Gate stays closed until Super, Daily Bugle Mystery is suspended, objectives use lens-matched pulses, and the shared Master Vine route chase guides the final VUK and clears on collect or teardown. Needs machine playtest.</x:v>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str">
        <x:v>Implemented with live wave/timer/lit/cleared status, hardware-aware lamps, shared left-bank naming, and an explicit VUK-route cleanup event that turns off every chase output—including the spinner GI—before the intended active-wave spinner pulse takes over. Needs on-machine playtest.</x:v>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str">
        <x:v>Implemented 2026-07-23; updated 2026-08-24 so chapter mini-wizard ready also starts the shared Master Vine VUK route chase. The chase stops as soon as the VUK starts the wizard intro. Final Showdown ready is excluded because it starts from a saucer, not the VUK.</x:v>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str">
        <x:v>Sinister Surge, Trubble Unleashed, and The Web Tightens are approved/coded. Mastermind Trap, Crime Wave, and Fifth Dimension Curse are functional but provisional and require design approval as well as playtest.</x:v>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str">
        <x:v>Review 3 functional/provisional mini-wizards; fully design and code 5 remaining placeholder shells; complete the dedicated Kingpin Final Showdown design/retheme. The Web Tightens is approved/coded and needs machine playtest. Wizard Case Files add 20K each to qualifying Jackpot values (max +500K per 1X JP).</x:v>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str">
        <x:v>docs/ASM67_55_Villains_11_Wizards_1_Final_Wizard_Tracker.xlsx</x:v>
      </x:c>
      <x:c r="C3" s="31" t="str">
        <x:v>Complete tracker for 55 active regular villains, 11 chapter wizards, and the final wizard.</x:v>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row r="10">
      <x:c r="A10" t="str">
        <x:v>Live roster authority</x:v>
      </x:c>
      <x:c r="B10" t="str">
        <x:v>modes/villain_progression/code/villain_progression.py</x:v>
      </x:c>
      <x:c r="C10" t="str">
        <x:v>Defines the current 11 chapters, 55 active villains, 11 chapter wizard keys/start events, and final_showdown as the final wizard.</x:v>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str">
        <x:v>Pops + Smash shots + four A/B rollovers</x:v>
      </x:c>
      <x:c r="J2" s="31" t="str">
        <x:v>200K–600K bases; 25K–150K Smash additions</x:v>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str">
        <x:v>Upper targets + upper/lower spinners</x:v>
      </x:c>
      <x:c r="J4" s="31" t="str">
        <x:v>20K yellow / 50K red combined spinner values</x:v>
      </x:c>
      <x:c r="K4" s="31" t="str">
        <x:v>Independent 8s target windows; all-red follow-up hit adds a ball</x:v>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str">
        <x:v>Resetting 250K-to-50K spark jackpots; 10K decay per step</x:v>
      </x:c>
      <x:c r="K5" s="31" t="str">
        <x:v>Lower: 5s and 1s decay; upper: 10s and 2s decay. More Time doubles decay intervals. Final Super: 10s lower/15s upper; final saucer holds through summary.</x:v>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str">
        <x:v>Implemented / reviewed; 20s right-bank rooftop route needs machine test</x:v>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str">
        <x:v>State-management mode; bright-blue rollover states and the conditional left-bank GI now make the required arm-lock shots explicit. The right bank now creates a 20-second routing tradeoff: spinner shots still build the Web Jackpot but travel through the VUK to the roof, temporarily bypassing lower arm-release shots.</x:v>
      </x:c>
    </x:row>
    <x:row r="8">
      <x:c r="A8" s="31" t="n">
        <x:v>2</x:v>
      </x:c>
      <x:c r="B8" s="31" t="inlineStr">
        <x:is>
          <x:t xml:space="preserve">Mastermind Trap</x:t>
        </x:is>
      </x:c>
      <x:c r="C8" s="31" t="inlineStr">
        <x:is>
          <x:t xml:space="preserve">mysterio</x:t>
        </x:is>
      </x:c>
      <x:c r="D8" s="31" t="inlineStr">
        <x:is>
          <x:t xml:space="preserve">Mysterio</x:t>
        </x:is>
      </x:c>
      <x:c r="E8" s="31" t="str">
        <x:v>Implemented / recent eight-shot update / needs playtest</x:v>
      </x:c>
      <x:c r="F8" s="31" t="inlineStr">
        <x:is>
          <x:t xml:space="preserve">1</x:t>
        </x:is>
      </x:c>
      <x:c r="G8" s="31" t="inlineStr">
        <x:is>
          <x:t xml:space="preserve">Mystery / reveal</x:t>
        </x:is>
      </x:c>
      <x:c r="H8" s="31" t="inlineStr">
        <x:is>
          <x:t xml:space="preserve">Clue logic</x:t>
        </x:is>
      </x:c>
      <x:c r="I8" s="31" t="str">
        <x:v>Webs + pops + both banks + saucers + upper targets; no spinners</x:v>
      </x:c>
      <x:c r="J8" s="31" t="str">
        <x:v>1M hidden Super with 50K wrong-shot scoring and value deductions</x:v>
      </x:c>
      <x:c r="K8" s="31" t="str">
        <x:v>First attempt cannot win; five directional clues and two false locations narrow the eight-shot field</x:v>
      </x:c>
      <x:c r="L8" s="31" t="inlineStr">
        <x:is>
          <x:t xml:space="preserve">Hidden Super solved / ball end</x:t>
        </x:is>
      </x:c>
      <x:c r="M8" s="31" t="str">
        <x:v>Eight-shot mystery role; all incorrect attempts count in the Clue Shots summary, and terminal saucer control follows the shared post-summary release path.</x:v>
      </x:c>
    </x:row>
    <x:row r="9">
      <x:c r="A9" s="31" t="n">
        <x:v>2</x:v>
      </x:c>
      <x:c r="B9" s="31" t="inlineStr">
        <x:is>
          <x:t xml:space="preserve">Mastermind Trap</x:t>
        </x:is>
      </x:c>
      <x:c r="C9" s="31" t="inlineStr">
        <x:is>
          <x:t xml:space="preserve">scorpion</x:t>
        </x:is>
      </x:c>
      <x:c r="D9" s="31" t="inlineStr">
        <x:is>
          <x:t xml:space="preserve">Scorpion</x:t>
        </x:is>
      </x:c>
      <x:c r="E9" s="31" t="str">
        <x:v>Implemented / recent rule update / needs playtest</x:v>
      </x:c>
      <x:c r="F9" s="31" t="inlineStr">
        <x:is>
          <x:t xml:space="preserve">1</x:t>
        </x:is>
      </x:c>
      <x:c r="G9" s="31" t="inlineStr">
        <x:is>
          <x:t xml:space="preserve">Timed attack</x:t>
        </x:is>
      </x:c>
      <x:c r="H9" s="31" t="inlineStr">
        <x:is>
          <x:t xml:space="preserve">Spinner build</x:t>
        </x:is>
      </x:c>
      <x:c r="I9" s="31" t="str">
        <x:v>Rooftop spinner + upper exits + opposite drop banks</x:v>
      </x:c>
      <x:c r="J9" s="31" t="str">
        <x:v>250K–1.5M base Sting jackpots; upper spinner adds 50K; one 200K–500K rubber consolation per attempt</x:v>
      </x:c>
      <x:c r="K9" s="31" t="str">
        <x:v>Exit choice determines the staged bank; correct target or 8s/12s timeout resolves the attempt</x:v>
      </x:c>
      <x:c r="L9" s="31" t="inlineStr">
        <x:is>
          <x:t xml:space="preserve">Attack sequence complete / ball end</x:t>
        </x:is>
      </x:c>
      <x:c r="M9" s="31" t="str">
        <x:v>Upper-playfield build-and-route mode: rooftop entry enables immediate exit choice, while optional spinner time trades safety for a larger jackpot. Rubber scoring no longer consumes the staged attempt.</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str">
        <x:v>Chapter 2 timed-delivery role; adds urgency and value decay without duplicating Parafino's multiball. Lighting now separates the slow yellow/red STAR-needed pulse from the teal delivery phase with brief red urgency flashes.</x:v>
      </x:c>
    </x:row>
    <x:row r="11">
      <x:c r="A11" s="31" t="n">
        <x:v>2</x:v>
      </x:c>
      <x:c r="B11" s="31" t="inlineStr">
        <x:is>
          <x:t xml:space="preserve">Mastermind Trap</x:t>
        </x:is>
      </x:c>
      <x:c r="C11" s="31" t="inlineStr">
        <x:is>
          <x:t xml:space="preserve">parafino</x:t>
        </x:is>
      </x:c>
      <x:c r="D11" s="31" t="inlineStr">
        <x:is>
          <x:t xml:space="preserve">Parafino</x:t>
        </x:is>
      </x:c>
      <x:c r="E11" s="31" t="str">
        <x:v>Implemented / approved lighting update / needs playtest</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All three target areas now share a synchronized red pulse using clear-lens lamps, contrasted against solid 8080F0 blue GI; gameplay, numeric saucer ejection, and 2-second release timing are unchanged.</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1X-2X qualification update / needs playtest</x:v>
      </x:c>
      <x:c r="F12" s="31" t="str">
        <x:v>1</x:v>
      </x:c>
      <x:c r="G12" s="31" t="str">
        <x:v>Timed matching</x:v>
      </x:c>
      <x:c r="H12" s="31" t="str">
        <x:v>Saucer control</x:v>
      </x:c>
      <x:c r="I12" s="31" t="str">
        <x:v>Left drop bank + corresponding upper targets + saucers</x:v>
      </x:c>
      <x:c r="J12" s="31" t="str">
        <x:v>Matching saucer jackpots at 1X from lower drops or 2X from upper targets; upper spinner builds value</x:v>
      </x:c>
      <x:c r="K12" s="31" t="str">
        <x:v>16s timer after first jackpot; upper target/spinner/saucer resets</x:v>
      </x:c>
      <x:c r="L12" s="31" t="str">
        <x:v>Timer expiry / ball end; 3 jackpots is display-only</x:v>
      </x:c>
      <x:c r="M12" s="31" t="str">
        <x:v>Timed matching role with a clear risk/reward choice: collect the lower-qualified 1X or keep the gate open and route upstairs for the matching 2X. CERBERUS DEFEATED remains a 2-second presentation after the third jackpot; the active mode continues until timer expiry or ball end.</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str">
        <x:v>Implemented / recent timer update / needs playtest</x:v>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str">
        <x:v>First-hit 8s windows; 12s with More Time</x:v>
      </x:c>
      <x:c r="L14" s="31" t="inlineStr">
        <x:is>
          <x:t xml:space="preserve">Three Hunts complete / arrows depleted / ball end</x:t>
        </x:is>
      </x:c>
      <x:c r="M14" s="31" t="str">
        <x:v>Limited-resource precision role with a clear red-GI Hunt state. All three Hunts now use the approved 8-second first-hit window, extended to 12 seconds with More Time; scoring and arrow economy are unchanged.</x:v>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str">
        <x:v>Implemented / recent More Jackpots update / needs playtest</x:v>
      </x:c>
      <x:c r="F16" s="31" t="str">
        <x:v>1 ball; optional second staged finale</x:v>
      </x:c>
      <x:c r="G16" s="31" t="str">
        <x:v>Build-and-cash</x:v>
      </x:c>
      <x:c r="H16" s="31" t="str">
        <x:v>Roof one-shot finale</x:v>
      </x:c>
      <x:c r="I16" s="31" t="str">
        <x:v>Drops + VUK/roof + upper-left exit + right rubber</x:v>
      </x:c>
      <x:c r="J16" s="31" t="str">
        <x:v>25K drops; +100K JP/drop; 50K consolation; built JP cashout</x:v>
      </x:c>
      <x:c r="K16" s="31" t="str">
        <x:v>6s/12s final; fixed 12s More Jackpots re-entry window</x:v>
      </x:c>
      <x:c r="L16" s="31" t="str">
        <x:v>First finale resolved; optional second finale resolved/window expired; ball end</x:v>
      </x:c>
      <x:c r="M16" s="31" t="str">
        <x:v>Build-to-final role. More Jackpots now repeats the full roof/post route for one second one-shot attempt instead of creating an open-ended final or left-rubber half-Jackpot.</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first-reveal timing update / needs playtest</x:v>
      </x:c>
      <x:c r="F19" s="31" t="str">
        <x:v>1</x:v>
      </x:c>
      <x:c r="G19" s="31" t="str">
        <x:v>Mystery / reveal</x:v>
      </x:c>
      <x:c r="H19" s="31" t="str">
        <x:v>Timed location</x:v>
      </x:c>
      <x:c r="I19" s="31" t="str">
        <x:v>Right bank + STAR + revealed location</x:v>
      </x:c>
      <x:c r="J19" s="31" t="str">
        <x:v>Declining revealed-location value; STAR preserves value</x:v>
      </x:c>
      <x:c r="K19" s="31" t="str">
        <x:v>First reveal 8s/10s; later drops add time at lower value; repeatable STAR adds 4s without value loss</x:v>
      </x:c>
      <x:c r="L19" s="31" t="str">
        <x:v>Reveal rounds completed / ball end</x:v>
      </x:c>
      <x:c r="M19" s="31" t="str">
        <x:v>Reveal/urgency role. The first travel window is now the approved 8 seconds, or 10 with More Time; later time/value tradeoffs, STAR behavior, scoring, lighting, and ending remain unchanged.</x:v>
      </x:c>
    </x:row>
    <x:row r="20">
      <x:c r="A20" s="31" t="n">
        <x:v>4</x:v>
      </x:c>
      <x:c r="B20" s="31" t="inlineStr">
        <x:is>
          <x:t xml:space="preserve">Crime Wave</x:t>
        </x:is>
      </x:c>
      <x:c r="C20" s="31" t="inlineStr">
        <x:is>
          <x:t xml:space="preserve">enforcers</x:t>
        </x:is>
      </x:c>
      <x:c r="D20" s="31" t="inlineStr">
        <x:is>
          <x:t xml:space="preserve">The Enforcers</x:t>
        </x:is>
      </x:c>
      <x:c r="E20" s="31" t="str">
        <x:v>Implemented / VUK route and Ox chase lighting update / needs playtest</x:v>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str">
        <x:v>Two hits light each rooftop jackpot; continued hits build 1X-5X; spinner adds 50K per spin to Ox</x:v>
      </x:c>
      <x:c r="L20" s="31" t="str">
        <x:v>Three rooftop jackpots, then center-web Ox Super / ball end</x:v>
      </x:c>
      <x:c r="M20" s="31" t="str">
        <x:v>Team/zone buildup role. A F0D040 shared VUK chase now guides rooftop entry from the first lit upper jackpot until the third is collected. The existing 80F0F0 center-web Ox chase then takes over.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1-2-3 saucer progression fix / needs machine playtest</x:v>
      </x:c>
      <x:c r="F21" s="31" t="str">
        <x:v>1</x:v>
      </x:c>
      <x:c r="G21" s="31" t="str">
        <x:v>Chase / freeze</x:v>
      </x:c>
      <x:c r="H21" s="31" t="str">
        <x:v>Banked bonus</x:v>
      </x:c>
      <x:c r="I21" s="31" t="str">
        <x:v>Drops + STAR + saucers</x:v>
      </x:c>
      <x:c r="J21" s="31" t="str">
        <x:v>Frozen-diamond bank / shipment jackpot</x:v>
      </x:c>
      <x:c r="K21" s="31" t="str">
        <x:v>Right-bank completion arms first post-reset drop to expand moving window 1 -&gt; 2 -&gt; 3; STAR freezes current window 10s/15s</x:v>
      </x:c>
      <x:c r="L21" s="31" t="str">
        <x:v>Three shipments, or four with More Jackpots / ball end</x:v>
      </x:c>
      <x:c r="M21" s="31" t="str">
        <x:v>Crime Wave risk/reward chase. Availability now grows through the approved one-, two-, and three-saucer moving windows. Only red hole lamps show valid saucers; scoring, chase speeds, Diamond Bonus, Case Files, red STAR flash, and terminal summary hold remain intact.</x:v>
      </x:c>
    </x:row>
    <x:row r="22">
      <x:c r="A22" s="31" t="n">
        <x:v>5</x:v>
      </x:c>
      <x:c r="B22" s="31" t="inlineStr">
        <x:is>
          <x:t xml:space="preserve">The Web Tightens</x:t>
        </x:is>
      </x:c>
      <x:c r="C22" s="31" t="inlineStr">
        <x:is>
          <x:t xml:space="preserve">harley_clivendon</x:t>
        </x:is>
      </x:c>
      <x:c r="D22" s="31" t="inlineStr">
        <x:is>
          <x:t xml:space="preserve">Harley Clivendon</x:t>
        </x:is>
      </x:c>
      <x:c r="E22" s="31" t="str">
        <x:v>Implemented / reviewed; gate-synchronized VUK chase needs machine test</x:v>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str">
        <x:v>Controlled lock; 4 of 8 areas qualify; retained More-Jackpots areas stay dark until next lock; delayed Ball-2 autoplunge</x:v>
      </x:c>
      <x:c r="L22" s="31" t="str">
        <x:v>Multiball reaches one ball / ball end</x:v>
      </x:c>
      <x:c r="M22" s="31" t="str">
        <x:v>Area-control multiball with repeatable VUK cashouts. The directional chase now follows the rooftop gate state rather than Jackpot-ready state, remaining on through the delayed kick and stopping when the gate closes.</x:v>
      </x:c>
    </x:row>
    <x:row r="23">
      <x:c r="A23" s="31" t="n">
        <x:v>5</x:v>
      </x:c>
      <x:c r="B23" s="31" t="inlineStr">
        <x:is>
          <x:t xml:space="preserve">The Web Tightens</x:t>
        </x:is>
      </x:c>
      <x:c r="C23" s="31" t="inlineStr">
        <x:is>
          <x:t xml:space="preserve">conquistador</x:t>
        </x:is>
      </x:c>
      <x:c r="D23" s="31" t="inlineStr">
        <x:is>
          <x:t xml:space="preserve">The Conquistador</x:t>
        </x:is>
      </x:c>
      <x:c r="E23" s="31" t="str">
        <x:v>Implemented / single-drop Stage 1 review patch / needs machine playtest</x:v>
      </x:c>
      <x:c r="F23" s="31" t="inlineStr">
        <x:is>
          <x:t xml:space="preserve">1</x:t>
        </x:is>
      </x:c>
      <x:c r="G23" s="31" t="inlineStr">
        <x:is>
          <x:t xml:space="preserve">Timed pursuit</x:t>
        </x:is>
      </x:c>
      <x:c r="H23" s="31" t="inlineStr">
        <x:is>
          <x:t xml:space="preserve">Build-and-cash</x:t>
        </x:is>
      </x:c>
      <x:c r="I23" s="31" t="str">
        <x:v>Any left 3-bank drop + upper spinner + upper targets + center web</x:v>
      </x:c>
      <x:c r="J23" s="31" t="inlineStr">
        <x:is>
          <x:t xml:space="preserve">Uncapped Fountain Jackpot and stage Speed Bonuses</x:t>
        </x:is>
      </x:c>
      <x:c r="K23" s="31" t="str">
        <x:v>First left-drop hit scores 50K, awards remaining-time speed value, resets the bank, and opens the gate; extra upper-target hits increase the Fountain Jackpot</x:v>
      </x:c>
      <x:c r="L23" s="31" t="inlineStr">
        <x:is>
          <x:t xml:space="preserve">Either main timer expires, or Fountain sequence resolves</x:t>
        </x:is>
      </x:c>
      <x:c r="M23" s="31" t="str">
        <x:v>Distinct two-stage route: one timed left-drop gate shot, an untimed three-spin Fountain search, then timed center-web cashout with an optional second sip. Dedicated Song 54 remains assigned.</x:v>
      </x:c>
    </x:row>
    <x:row r="24">
      <x:c r="A24" s="31" t="n">
        <x:v>5</x:v>
      </x:c>
      <x:c r="B24" s="31" t="inlineStr">
        <x:is>
          <x:t xml:space="preserve">The Web Tightens</x:t>
        </x:is>
      </x:c>
      <x:c r="C24" s="31" t="inlineStr">
        <x:is>
          <x:t xml:space="preserve">spider_slayer</x:t>
        </x:is>
      </x:c>
      <x:c r="D24" s="31" t="inlineStr">
        <x:is>
          <x:t xml:space="preserve">Spider-Slayer</x:t>
        </x:is>
      </x:c>
      <x:c r="E24" s="31" t="str">
        <x:v>Implemented / reviewed; needs machine test</x:v>
      </x:c>
      <x:c r="F24" s="31" t="n">
        <x:v>1</x:v>
      </x:c>
      <x:c r="G24" s="31" t="str">
        <x:v>Expanding shot hunt</x:v>
      </x:c>
      <x:c r="H24" s="31" t="str">
        <x:v>Persistent lit-shot growth with declining repeat values</x:v>
      </x:c>
      <x:c r="I24" s="31" t="str">
        <x:v>Ten lower-playfield categories + Daily Bugle VUK finish</x:v>
      </x:c>
      <x:c r="J24" s="31" t="str">
        <x:v>Per-category 50K/25K/10K/5K ladder; 2M timed Slayer Jackpot</x:v>
      </x:c>
      <x:c r="K24" s="31" t="str">
        <x:v>15 hits open a 20-second VUK countdown; lit shots keep scoring</x:v>
      </x:c>
      <x:c r="L24" s="31" t="str">
        <x:v>Jackpot collected / ball end; VUK opportunity expires and gate closes</x:v>
      </x:c>
      <x:c r="M24" s="31" t="str">
        <x:v>Shot Assist counts/scores the first shot twice. All saucers share one counter and all six red hole lamps. Hunt Time is summarized only after 15 hits.</x:v>
      </x:c>
    </x:row>
    <x:row r="25">
      <x:c r="A25" s="31" t="n">
        <x:v>5</x:v>
      </x:c>
      <x:c r="B25" s="31" t="inlineStr">
        <x:is>
          <x:t xml:space="preserve">The Web Tightens</x:t>
        </x:is>
      </x:c>
      <x:c r="C25" s="31" t="inlineStr">
        <x:is>
          <x:t xml:space="preserve">metal_eating_robot</x:t>
        </x:is>
      </x:c>
      <x:c r="D25" s="31" t="inlineStr">
        <x:is>
          <x:t xml:space="preserve">Metal-Eating Monster</x:t>
        </x:is>
      </x:c>
      <x:c r="E25" s="31" t="str">
        <x:v>Implemented / reviewed; saved-GI fix needs machine test</x:v>
      </x:c>
      <x:c r="F25" s="31" t="n">
        <x:v>1</x:v>
      </x:c>
      <x:c r="G25" s="31" t="str">
        <x:v>Overlapping zone rescue</x:v>
      </x:c>
      <x:c r="H25" s="31" t="str">
        <x:v>Independent timers / escalating pressure</x:v>
      </x:c>
      <x:c r="I25" s="31" t="str">
        <x:v>Eight whole-playfield zones</x:v>
      </x:c>
      <x:c r="J25" s="31" t="str">
        <x:v>250K saves; one half-value saved-zone repeat with More Jackpots</x:v>
      </x:c>
      <x:c r="K25" s="31" t="str">
        <x:v>New attacks every 5s; saves accelerate the next attack to 2s</x:v>
      </x:c>
      <x:c r="L25" s="31" t="str">
        <x:v>Four saved and no active attacks / three destroyed / ball end</x:v>
      </x:c>
      <x:c r="M25" s="31" t="str">
        <x:v>Attacks use 100% flashing orange GI plus native inserts. Saved zones remain visible with solid inserts and 75% green GI; destroyed zones are dark.</x:v>
      </x:c>
    </x:row>
    <x:row r="26">
      <x:c r="A26" s="31" t="n">
        <x:v>5</x:v>
      </x:c>
      <x:c r="B26" s="31" t="inlineStr">
        <x:is>
          <x:t xml:space="preserve">The Web Tightens</x:t>
        </x:is>
      </x:c>
      <x:c r="C26" s="31" t="inlineStr">
        <x:is>
          <x:t xml:space="preserve">fiddler</x:t>
        </x:is>
      </x:c>
      <x:c r="D26" s="31" t="inlineStr">
        <x:is>
          <x:t xml:space="preserve">Fiddler</x:t>
        </x:is>
      </x:c>
      <x:c r="E26" s="31" t="str">
        <x:v>Implemented / starting-ball ownership repair / needs machine playtest</x:v>
      </x:c>
      <x:c r="F26" s="31" t="inlineStr">
        <x:is>
          <x:t xml:space="preserve">1</x:t>
        </x:is>
      </x:c>
      <x:c r="G26" s="31" t="str">
        <x:v>Memory sequence</x:v>
      </x:c>
      <x:c r="H26" s="31" t="str">
        <x:v>Saucer-started randomized musical patterns</x:v>
      </x:c>
      <x:c r="I26" s="31" t="str">
        <x:v>Left web + left-bank rubber + right pop + right-bank rubber</x:v>
      </x:c>
      <x:c r="J26" s="31" t="str">
        <x:v>250K per correct note; 300K with Bigger Jackpots</x:v>
      </x:c>
      <x:c r="K26" s="31" t="str">
        <x:v>Patterns grow 1 -&gt; 2 -&gt; 3 -&gt; 4 notes and then remain at four; clean saucer returns replay the current pattern once</x:v>
      </x:c>
      <x:c r="L26" s="31" t="str">
        <x:v>Three failed rounds, or four with More Jackpots / ball end</x:v>
      </x:c>
      <x:c r="M26" s="31" t="str">
        <x:v>Musical-memory role. A starting lower saucer or Mystery VUK is inherited from the villain intro and held through the first WATCH presentation; the owning device ejects for REPEAT. Completing one pattern defeats Fiddler for progression, while play continues until the failure limit.</x:v>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Four rounds; four correct required. More JP adds two recovery rounds. Clean JPs 200K/300K/400K/500K; first wrong -100K and removes that choice. Bigger: 300K/450K/600K/750K with -150K first-wrong penalty.</x:v>
      </x:c>
      <x:c r="K27" s="31" t="str">
        <x:v>All live choices flash green identically. Reveal isolates the correct flashing choice. Summary tracks first-guess and second-guess Jackpots.</x:v>
      </x:c>
      <x:c r="L27" s="31" t="str">
        <x:v>Fourth correct Jackpot or final available recovery round</x:v>
      </x:c>
      <x:c r="M27" s="31" t="str">
        <x:v>Mystic chapter reveal/mistake-limit role.</x:v>
      </x:c>
    </x:row>
    <x:row r="28">
      <x:c r="A28" s="31" t="n">
        <x:v>6</x:v>
      </x:c>
      <x:c r="B28" s="31" t="inlineStr">
        <x:is>
          <x:t xml:space="preserve">Fifth Dimension Curse</x:t>
        </x:is>
      </x:c>
      <x:c r="C28" s="31" t="inlineStr">
        <x:is>
          <x:t xml:space="preserve">fakir</x:t>
        </x:is>
      </x:c>
      <x:c r="D28" s="31" t="inlineStr">
        <x:is>
          <x:t xml:space="preserve">The Fantastic Fakir</x:t>
        </x:is>
      </x:c>
      <x:c r="E28" s="31" t="str">
        <x:v>Implemented / reviewed; VUK chase + status fix need machine test</x:v>
      </x:c>
      <x:c r="F28" s="31" t="str">
        <x:v>2-ball MB</x:v>
      </x:c>
      <x:c r="G28" s="31" t="str">
        <x:v>Multiball</x:v>
      </x:c>
      <x:c r="H28" s="31" t="str">
        <x:v>Saucer-to-roof Ruby hunt</x:v>
      </x:c>
      <x:c r="I28" s="31" t="str">
        <x:v>Saucers + VUK route + upper targets + both spinners</x:v>
      </x:c>
      <x:c r="J28" s="31" t="str">
        <x:v>Ruby Jackpots and one summed Super</x:v>
      </x:c>
      <x:c r="K28" s="31" t="str">
        <x:v>10s rooftop Ruby window; 15s with More Time</x:v>
      </x:c>
      <x:c r="L28" s="31" t="str">
        <x:v>Multiball returns to one ball</x:v>
      </x:c>
      <x:c r="M28" s="31" t="str">
        <x:v>Shared VUK chase stops on upper entry or attempt cleanup. Corrected status output uses real Ruby/Super state instead of nonexistent legacy flags.</x:v>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reviewed; Scepter wording fix needs machine test</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directs SUPER AT DAILY BUGLE, or KILL THE DEMON, COLLECT THE SUPER while that demon remains.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reviewed; flicker/status/gate fix needs machine test</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str">
        <x:v>Unrestored regions flicker independently for 100ms every random 2–5s; CITY TIME remains live through the Blackout finale.</x:v>
      </x:c>
      <x:c r="L30" s="31" t="str">
        <x:v>Six restored / timer / ball end</x:v>
      </x:c>
      <x:c r="M30" s="31" t="str">
        <x:v>More Jackpots adds the 500K Daily Bugle Blackout Jackpot. Its shared VUK chase starts after one guarded gate-open request. Timeout and success cleanup need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str">
        <x:v>Implemented / reviewed; white saucer-hole pulse needs machine test</x:v>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str">
        <x:v>Three required areas; optional fourth with More Jackpots. Super guidance uses a synchronized four-level white brightness pulse on all six saucer-hole lamps and no numbered inserts.</x:v>
      </x:c>
    </x:row>
    <x:row r="32">
      <x:c r="A32" s="31" t="n">
        <x:v>7</x:v>
      </x:c>
      <x:c r="B32" s="31" t="inlineStr">
        <x:is>
          <x:t xml:space="preserve">Mad Science Meltdown</x:t>
        </x:is>
      </x:c>
      <x:c r="C32" s="31" t="inlineStr">
        <x:is>
          <x:t xml:space="preserve">noah_boddy</x:t>
        </x:is>
      </x:c>
      <x:c r="D32" s="31" t="inlineStr">
        <x:is>
          <x:t xml:space="preserve">Dr. Noah Boddy</x:t>
        </x:is>
      </x:c>
      <x:c r="E32" s="31" t="str">
        <x:v>Implemented / reviewed; lifecycle + VUK chase fix needs machine test</x:v>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str">
        <x:v>Persistent cross-visit reveal state; shared VUK chase guides each rooftop return and one Python gate-open event owns access.</x:v>
      </x:c>
      <x:c r="L32" s="31" t="str">
        <x:v>Secret objectives solved / hurry-up missed / ball end</x:v>
      </x:c>
      <x:c r="M32" s="31" t="str">
        <x:v>Both success and missed/expired failure finish at completed state 2; their player-facing messages remain distinct. Machine regression testing pending.</x:v>
      </x:c>
    </x:row>
    <x:row r="33">
      <x:c r="A33" s="31" t="n">
        <x:v>7</x:v>
      </x:c>
      <x:c r="B33" s="31" t="inlineStr">
        <x:is>
          <x:t xml:space="preserve">Mad Science Meltdown</x:t>
        </x:is>
      </x:c>
      <x:c r="C33" s="31" t="inlineStr">
        <x:is>
          <x:t xml:space="preserve">dr_magneto</x:t>
        </x:is>
      </x:c>
      <x:c r="D33" s="31" t="inlineStr">
        <x:is>
          <x:t xml:space="preserve">Dr. Magneto</x:t>
        </x:is>
      </x:c>
      <x:c r="E33" s="31" t="str">
        <x:v>Implemented / reviewed; status + lighting fix needs machine test</x:v>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str">
        <x:v>8/10-second circuits; A/B and flashing pops accelerate after 4 seconds. The 16/20-second center-web chase accelerates after 8 seconds.</x:v>
      </x:c>
      <x:c r="L33" s="31" t="inlineStr">
        <x:is>
          <x:t xml:space="preserve">Center-web Super / expiry / ball end</x:t>
        </x:is>
      </x:c>
      <x:c r="M33" s="31" t="str">
        <x:v>Purple base GI; available sling/inlane areas pulse and return to GI color when done. Completed pops stay solid. Four-light white web chase and live Super status need machine testing.</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str">
        <x:v>100K/150K first five pellets; More JP extras 200K/250K or 300K/350K with Bigger; 1M Super</x:v>
      </x:c>
      <x:c r="K36" s="31" t="str">
        <x:v>4s moving shot; five pellets; 20s VUK</x:v>
      </x:c>
      <x:c r="L36" s="31" t="str">
        <x:v>Super / timer / ball end</x:v>
      </x:c>
      <x:c r="M36" s="31" t="str">
        <x:v>Orange E0E040 GI; active moving shot flashes green at 250ms on/off. Optional More JP pellets create risk/reward during the Super timer.</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str">
        <x:v>Implemented / reviewed; independent bank-lighting fix needs machine test</x:v>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str">
        <x:v>Distinct from Electro: fixed rooftop camera-flash objective with helper targets rather than a travelling playfield spark. Bank cues now use explicit priority so the remaining unhit bank stays pulsing until qualified, then both clear for rooftop play.</x:v>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str">
        <x:v>Approved/coded — needs playtest</x:v>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inlineStr">
        <x:is>
          <x:t xml:space="preserve">Placeholder shell — full design/coding required</x:t>
        </x:is>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inlineStr">
        <x:is>
          <x:t xml:space="preserve">Placeholder shell — full design/coding required</x:t>
        </x:is>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row r="13">
      <x:c r="A13" t="str">
        <x:v>Final Wizard</x:v>
      </x:c>
      <x:c r="B13"/>
      <x:c r="C13"/>
      <x:c r="D13" t="str">
        <x:v>Kingpin / Final Showdown</x:v>
      </x:c>
      <x:c r="E13" t="str">
        <x:v>Working generic framework — dedicated Kingpin design/retheme unfinished</x:v>
      </x:c>
    </x:row>
    <x:row r="14">
      <x:c r="A14" s="100" t="str">
        <x:v>TOTAL TRACKED</x:v>
      </x:c>
      <x:c r="B14" s="100" t="n">
        <x:f>SUM(B2:B12)</x:f>
        <x:v>55</x:v>
      </x:c>
      <x:c r="C14" s="100" t="n">
        <x:f>SUM(C2:C12)</x:f>
        <x:v>0</x:v>
      </x:c>
      <x:c r="D14" s="100" t="str">
        <x:v>12 wizards</x:v>
      </x:c>
      <x:c r="E14" s="100" t="str">
        <x:v>67 modes total</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str">
        <x:v>Source of truth: current villain_bookends.py and music_control.py/yaml as of 2026-08-23. Bookends own villain/wizard music; music_control owns chapter base music.</x:v>
      </x:c>
      <x:c r="B2" s="1"/>
      <x:c r="C2" s="1"/>
      <x:c r="D2" s="1"/>
      <x:c r="E2" s="1"/>
    </x:row>
    <x:row r="3" s="26" customFormat="1" ht="30" customHeight="1">
      <x:c r="A3" s="83" t="str">
        <x:v>Rule: chapter base themes use longer songs. Villain/wizard songs have at most two uses; maintheme, loop*, and intro_* tracks remain outside villain/wizard gameplay.</x:v>
      </x:c>
      <x:c r="B3" s="1"/>
      <x:c r="C3" s="1"/>
      <x:c r="D3" s="1"/>
      <x:c r="E3" s="1"/>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str">
        <x:v>prowl_car</x:v>
      </x:c>
      <x:c r="C6" s="74" t="str">
        <x:v>Chapter 1 base — Sinister Surge</x:v>
      </x:c>
      <x:c r="D6" s="73" t="n">
        <x:v>1</x:v>
      </x:c>
      <x:c r="E6" s="74"/>
    </x:row>
    <x:row r="7" s="26" customFormat="1" ht="15" customHeight="1">
      <x:c r="A7" s="73" t="n">
        <x:v>2</x:v>
      </x:c>
      <x:c r="B7" s="74" t="str">
        <x:v>panic_patrol</x:v>
      </x:c>
      <x:c r="C7" s="74" t="str">
        <x:v>Chapter 2 base — Mastermind Trap</x:v>
      </x:c>
      <x:c r="D7" s="73" t="n">
        <x:v>1</x:v>
      </x:c>
      <x:c r="E7" s="74"/>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str">
        <x:v>cloak</x:v>
      </x:c>
      <x:c r="C13" s="74" t="str">
        <x:v>Dr. Von Schlick</x:v>
      </x:c>
      <x:c r="D13" s="73" t="n">
        <x:v>1</x:v>
      </x:c>
      <x:c r="E13" s="74" t="str">
        <x:v>Sandman reassigned to Song 80.</x:v>
      </x:c>
    </x:row>
    <x:row r="14" s="26" customFormat="1" ht="15" customHeight="1">
      <x:c r="A14" s="73" t="n">
        <x:v>9</x:v>
      </x:c>
      <x:c r="B14" s="74" t="str">
        <x:v>fright</x:v>
      </x:c>
      <x:c r="C14" s="74" t="str">
        <x:v>Skymaster</x:v>
      </x:c>
      <x:c r="D14" s="73" t="n">
        <x:v>1</x:v>
      </x:c>
      <x:c r="E14" s="74" t="str">
        <x:v>Removed from the former random main-play pool.</x:v>
      </x:c>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str">
        <x:v>loop_123456</x:v>
      </x:c>
      <x:c r="C21" s="78"/>
      <x:c r="D21" s="77" t="n">
        <x:v>0</x:v>
      </x:c>
      <x:c r="E21" s="78" t="str">
        <x:v>Protected loop* track; no longer used for main play.</x:v>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str">
        <x:v>Parafino</x:v>
      </x:c>
      <x:c r="D24" s="73" t="n">
        <x:v>1</x:v>
      </x:c>
      <x:c r="E24" s="74" t="str">
        <x:v>Vulcan reassigned to Song 64.</x:v>
      </x:c>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str">
        <x:v>Infinata</x:v>
      </x:c>
      <x:c r="D29" s="73" t="n">
        <x:v>1</x:v>
      </x:c>
      <x:c r="E29" s="74" t="str">
        <x:v>Mysterio reassigned to Song 63.</x:v>
      </x:c>
    </x:row>
    <x:row r="30" s="26" customFormat="1" ht="15" customHeight="1">
      <x:c r="A30" s="73" t="n">
        <x:v>25</x:v>
      </x:c>
      <x:c r="B30" s="74" t="str">
        <x:v>waiting</x:v>
      </x:c>
      <x:c r="C30" s="74" t="str">
        <x:v>Chapter 6 base — Fifth Dimension Curse</x:v>
      </x:c>
      <x:c r="D30" s="73" t="n">
        <x:v>1</x:v>
      </x:c>
      <x:c r="E30" s="74" t="str">
        <x:v>Scorpion reassigned to Song 72.</x:v>
      </x:c>
    </x:row>
    <x:row r="31" s="26" customFormat="1" ht="15" customHeight="1">
      <x:c r="A31" s="77" t="n">
        <x:v>26</x:v>
      </x:c>
      <x:c r="B31" s="78" t="str">
        <x:v>intro_mild_2</x:v>
      </x:c>
      <x:c r="C31" s="78"/>
      <x:c r="D31" s="77" t="n">
        <x:v>0</x:v>
      </x:c>
      <x:c r="E31" s="78" t="str">
        <x:v>Protected intro_* track; reserved for later use.</x:v>
      </x:c>
    </x:row>
    <x:row r="32" s="26" customFormat="1" ht="15" customHeight="1">
      <x:c r="A32" s="73" t="n">
        <x:v>27</x:v>
      </x:c>
      <x:c r="B32" s="74" t="str">
        <x:v>dash_to_safety_2</x:v>
      </x:c>
      <x:c r="C32" s="74" t="str">
        <x:v>Dr. Magneto</x:v>
      </x:c>
      <x:c r="D32" s="73" t="n">
        <x:v>1</x:v>
      </x:c>
      <x:c r="E32" s="74" t="str">
        <x:v>The Spider-Men reassigned to Song 74.</x:v>
      </x:c>
    </x:row>
    <x:row r="33" s="26" customFormat="1" ht="15" customHeight="1">
      <x:c r="A33" s="73" t="n">
        <x:v>28</x:v>
      </x:c>
      <x:c r="B33" s="74" t="str">
        <x:v>dash_to_safety_3</x:v>
      </x:c>
      <x:c r="C33" s="74" t="str">
        <x:v>Professor Pretorius</x:v>
      </x:c>
      <x:c r="D33" s="73" t="n">
        <x:v>1</x:v>
      </x:c>
      <x:c r="E33" s="74" t="str">
        <x:v>Charles Cameo reassigned to Song 70.</x:v>
      </x:c>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str">
        <x:v>spooky</x:v>
      </x:c>
      <x:c r="C40" s="74" t="str">
        <x:v>Kotep</x:v>
      </x:c>
      <x:c r="D40" s="73" t="n">
        <x:v>1</x:v>
      </x:c>
      <x:c r="E40" s="74" t="str">
        <x:v>Super Swami reassigned to Song 73.</x:v>
      </x:c>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str">
        <x:v>Doctor Dumpty</x:v>
      </x:c>
      <x:c r="D42" s="73" t="n">
        <x:v>1</x:v>
      </x:c>
      <x:c r="E42" s="74" t="str">
        <x:v>Doctor Atlantean reassigned to Song 62.</x:v>
      </x:c>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str">
        <x:v>The Plotter</x:v>
      </x:c>
      <x:c r="D46" s="73" t="n">
        <x:v>1</x:v>
      </x:c>
      <x:c r="E46" s="74" t="str">
        <x:v>Desperado reassigned to Song 59.</x:v>
      </x:c>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str">
        <x:v>topsy</x:v>
      </x:c>
      <x:c r="C57" s="74" t="str">
        <x:v>DeVargas</x:v>
      </x:c>
      <x:c r="D57" s="73" t="n">
        <x:v>1</x:v>
      </x:c>
      <x:c r="E57" s="74" t="str">
        <x:v>Brutus reassigned to Song 76.</x:v>
      </x:c>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v>Dedicated Conquistador mode track; villain bookends uses play_song_54.</x:v>
      </x:c>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inlineStr">
        <x:is>
          <x:t xml:space="preserve">50</x:t>
        </x:is>
      </x:c>
      <x:c r="C68" s="85" t="inlineStr">
        <x:is>
          <x:t xml:space="preserve">None</x:t>
        </x:is>
      </x:c>
      <x:c r="D68" s="85" t="inlineStr">
        <x:is>
          <x:t xml:space="preserve">50</x:t>
        </x:is>
      </x:c>
      <x:c r="E68" s="85" t="inlineStr">
        <x:is>
          <x:t xml:space="preserve">Bookend assignment remains active.</x:t>
        </x:is>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inlineStr">
        <x:is>
          <x:t xml:space="preserve">47</x:t>
        </x:is>
      </x:c>
      <x:c r="C70" s="85" t="inlineStr">
        <x:is>
          <x:t xml:space="preserve">None</x:t>
        </x:is>
      </x:c>
      <x:c r="D70" s="85" t="inlineStr">
        <x:is>
          <x:t xml:space="preserve">47</x:t>
        </x:is>
      </x:c>
      <x:c r="E70" s="85" t="inlineStr">
        <x:is>
          <x:t xml:space="preserve">Bookend assignment remains active.</x:t>
        </x:is>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inlineStr">
        <x:is>
          <x:t xml:space="preserve">3</x:t>
        </x:is>
      </x:c>
      <x:c r="C72" s="85" t="inlineStr">
        <x:is>
          <x:t xml:space="preserve">None</x:t>
        </x:is>
      </x:c>
      <x:c r="D72" s="85" t="inlineStr">
        <x:is>
          <x:t xml:space="preserve">3</x:t>
        </x:is>
      </x:c>
      <x:c r="E72" s="85"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str">
        <x:v>12 — intro_mild; 26 — intro_mild_2</x:v>
      </x:c>
      <x:c r="C77" s="85" t="str">
        <x:v>None</x:v>
      </x:c>
      <x:c r="D77" s="85" t="str">
        <x:v>OK</x:v>
      </x:c>
      <x:c r="E77" s="85" t="str">
        <x:v>Reserved for later use</x:v>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str">
        <x:v>None currently</x:v>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row r="84" ht="20" customHeight="1">
      <x:c r="A84" s="88" t="str">
        <x:v>Newly Added Track Assignments</x:v>
      </x:c>
      <x:c r="B84" s="88"/>
      <x:c r="C84" s="88"/>
      <x:c r="D84" s="88"/>
      <x:c r="E84" s="88"/>
    </x:row>
    <x:row r="85" ht="24" customHeight="1">
      <x:c r="A85" s="91" t="str">
        <x:v>Song #</x:v>
      </x:c>
      <x:c r="B85" s="91" t="str">
        <x:v>Configured Asset</x:v>
      </x:c>
      <x:c r="C85" s="91" t="str">
        <x:v>Effective Uses</x:v>
      </x:c>
      <x:c r="D85" s="91" t="str">
        <x:v>Count</x:v>
      </x:c>
      <x:c r="E85" s="91" t="str">
        <x:v>Notes</x:v>
      </x:c>
    </x:row>
    <x:row r="86">
      <x:c r="A86" s="93" t="n">
        <x:v>59</x:v>
      </x:c>
      <x:c r="B86" s="93" t="str">
        <x:v>ride_into_the_sun</x:v>
      </x:c>
      <x:c r="C86" s="93" t="str">
        <x:v>Desperado</x:v>
      </x:c>
      <x:c r="D86" s="93" t="n">
        <x:v>1</x:v>
      </x:c>
      <x:c r="E86" s="93" t="str">
        <x:v>Villain assignment.</x:v>
      </x:c>
    </x:row>
    <x:row r="87">
      <x:c r="A87" s="93" t="n">
        <x:v>60</x:v>
      </x:c>
      <x:c r="B87" s="93" t="str">
        <x:v>foot_patter</x:v>
      </x:c>
      <x:c r="C87" s="93" t="str">
        <x:v>5th Ave Phantom</x:v>
      </x:c>
      <x:c r="D87" s="93" t="n">
        <x:v>1</x:v>
      </x:c>
      <x:c r="E87" s="93" t="str">
        <x:v>Villain assignment.</x:v>
      </x:c>
    </x:row>
    <x:row r="88">
      <x:c r="A88" s="93" t="n">
        <x:v>61</x:v>
      </x:c>
      <x:c r="B88" s="93" t="str">
        <x:v>wild_weekend_intro</x:v>
      </x:c>
      <x:c r="C88" s="93"/>
      <x:c r="D88" s="93" t="n">
        <x:v>0</x:v>
      </x:c>
      <x:c r="E88" s="93" t="str">
        <x:v>Reserved for a future purpose.</x:v>
      </x:c>
    </x:row>
    <x:row r="89">
      <x:c r="A89" s="93" t="n">
        <x:v>62</x:v>
      </x:c>
      <x:c r="B89" s="93" t="str">
        <x:v>sheba</x:v>
      </x:c>
      <x:c r="C89" s="93" t="str">
        <x:v>Doctor Atlantean</x:v>
      </x:c>
      <x:c r="D89" s="93" t="n">
        <x:v>1</x:v>
      </x:c>
      <x:c r="E89" s="93" t="str">
        <x:v>Villain assignment.</x:v>
      </x:c>
    </x:row>
    <x:row r="90">
      <x:c r="A90" s="93" t="n">
        <x:v>63</x:v>
      </x:c>
      <x:c r="B90" s="93" t="str">
        <x:v>man_of_mystery</x:v>
      </x:c>
      <x:c r="C90" s="93" t="str">
        <x:v>Mysterio</x:v>
      </x:c>
      <x:c r="D90" s="93" t="n">
        <x:v>1</x:v>
      </x:c>
      <x:c r="E90" s="93" t="str">
        <x:v>Villain assignment.</x:v>
      </x:c>
    </x:row>
    <x:row r="91">
      <x:c r="A91" s="93" t="n">
        <x:v>64</x:v>
      </x:c>
      <x:c r="B91" s="93" t="str">
        <x:v>bombora</x:v>
      </x:c>
      <x:c r="C91" s="93" t="str">
        <x:v>Vulcan</x:v>
      </x:c>
      <x:c r="D91" s="93" t="n">
        <x:v>1</x:v>
      </x:c>
      <x:c r="E91" s="93" t="str">
        <x:v>Villain assignment.</x:v>
      </x:c>
    </x:row>
    <x:row r="92">
      <x:c r="A92" t="n">
        <x:v>65</x:v>
      </x:c>
      <x:c r="B92" t="str">
        <x:v>assault_course</x:v>
      </x:c>
      <x:c r="C92" t="str">
        <x:v>Chapter 9 base — Invasion from Everywhere</x:v>
      </x:c>
      <x:c r="D92" t="n">
        <x:v>1</x:v>
      </x:c>
      <x:c r="E92" t="str">
        <x:v>Chapter base theme.</x:v>
      </x:c>
    </x:row>
    <x:row r="93">
      <x:c r="A93" t="n">
        <x:v>66</x:v>
      </x:c>
      <x:c r="B93" t="str">
        <x:v>tropic_waters</x:v>
      </x:c>
      <x:c r="C93" t="str">
        <x:v>Chapter 8 base — Nature Strikes Back</x:v>
      </x:c>
      <x:c r="D93" t="n">
        <x:v>1</x:v>
      </x:c>
      <x:c r="E93" t="str">
        <x:v>Chapter base theme.</x:v>
      </x:c>
    </x:row>
    <x:row r="94">
      <x:c r="A94" t="n">
        <x:v>67</x:v>
      </x:c>
      <x:c r="B94" t="str">
        <x:v>sample_syndicate</x:v>
      </x:c>
      <x:c r="C94" t="str">
        <x:v>Chapter 7 base — Mad Science Meltdown</x:v>
      </x:c>
      <x:c r="D94" t="n">
        <x:v>1</x:v>
      </x:c>
      <x:c r="E94" t="str">
        <x:v>Chapter base theme.</x:v>
      </x:c>
    </x:row>
    <x:row r="95">
      <x:c r="A95" t="n">
        <x:v>68</x:v>
      </x:c>
      <x:c r="B95" t="str">
        <x:v>men_of_action</x:v>
      </x:c>
      <x:c r="C95" t="str">
        <x:v>Chapter 5 base — The Web Tightens</x:v>
      </x:c>
      <x:c r="D95" t="n">
        <x:v>1</x:v>
      </x:c>
      <x:c r="E95" t="str">
        <x:v>Chapter base theme.</x:v>
      </x:c>
    </x:row>
    <x:row r="96">
      <x:c r="A96" t="n">
        <x:v>69</x:v>
      </x:c>
      <x:c r="B96" t="str">
        <x:v>shaker_loop_1</x:v>
      </x:c>
      <x:c r="C96"/>
      <x:c r="D96" t="n">
        <x:v>0</x:v>
      </x:c>
      <x:c r="E96" t="str">
        <x:v>Short loop; currently unassigned.</x:v>
      </x:c>
    </x:row>
    <x:row r="97">
      <x:c r="A97" t="n">
        <x:v>70</x:v>
      </x:c>
      <x:c r="B97" t="str">
        <x:v>news_views</x:v>
      </x:c>
      <x:c r="C97" t="str">
        <x:v>Charles Cameo</x:v>
      </x:c>
      <x:c r="D97" t="n">
        <x:v>1</x:v>
      </x:c>
      <x:c r="E97" t="str">
        <x:v>Short villain-mode assignment.</x:v>
      </x:c>
    </x:row>
    <x:row r="98">
      <x:c r="A98" t="n">
        <x:v>71</x:v>
      </x:c>
      <x:c r="B98" t="str">
        <x:v>hell_raisers</x:v>
      </x:c>
      <x:c r="C98" t="str">
        <x:v>Chapter 3 base — Trubble Unleashed</x:v>
      </x:c>
      <x:c r="D98" t="n">
        <x:v>1</x:v>
      </x:c>
      <x:c r="E98" t="str">
        <x:v>Chapter base theme.</x:v>
      </x:c>
    </x:row>
    <x:row r="99">
      <x:c r="A99" t="n">
        <x:v>72</x:v>
      </x:c>
      <x:c r="B99" t="str">
        <x:v>scorpion</x:v>
      </x:c>
      <x:c r="C99" t="str">
        <x:v>Scorpion</x:v>
      </x:c>
      <x:c r="D99" t="n">
        <x:v>1</x:v>
      </x:c>
      <x:c r="E99" t="str">
        <x:v>Villain assignment.</x:v>
      </x:c>
    </x:row>
    <x:row r="100">
      <x:c r="A100" t="n">
        <x:v>73</x:v>
      </x:c>
      <x:c r="B100" t="str">
        <x:v>last_night</x:v>
      </x:c>
      <x:c r="C100" t="str">
        <x:v>Super Swami</x:v>
      </x:c>
      <x:c r="D100" t="n">
        <x:v>1</x:v>
      </x:c>
      <x:c r="E100" t="str">
        <x:v>Replaces the duplicate use of Spooky.</x:v>
      </x:c>
    </x:row>
    <x:row r="101">
      <x:c r="A101" t="n">
        <x:v>74</x:v>
      </x:c>
      <x:c r="B101" t="str">
        <x:v>teen_beat</x:v>
      </x:c>
      <x:c r="C101" t="str">
        <x:v>The Spider-Men</x:v>
      </x:c>
      <x:c r="D101" t="n">
        <x:v>1</x:v>
      </x:c>
      <x:c r="E101" t="str">
        <x:v>Replaces the duplicate use of Dash to Safety 2.</x:v>
      </x:c>
    </x:row>
    <x:row r="102">
      <x:c r="A102" t="n">
        <x:v>75</x:v>
      </x:c>
      <x:c r="B102" t="str">
        <x:v>harlem_intro</x:v>
      </x:c>
      <x:c r="C102"/>
      <x:c r="D102" t="n">
        <x:v>0</x:v>
      </x:c>
      <x:c r="E102" t="str">
        <x:v>Short intro; currently unassigned.</x:v>
      </x:c>
    </x:row>
    <x:row r="103">
      <x:c r="A103" t="n">
        <x:v>76</x:v>
      </x:c>
      <x:c r="B103" t="str">
        <x:v>bulldog</x:v>
      </x:c>
      <x:c r="C103" t="str">
        <x:v>Brutus</x:v>
      </x:c>
      <x:c r="D103" t="n">
        <x:v>1</x:v>
      </x:c>
      <x:c r="E103" t="str">
        <x:v>Short villain-mode assignment.</x:v>
      </x:c>
    </x:row>
    <x:row r="104">
      <x:c r="A104" t="n">
        <x:v>77</x:v>
      </x:c>
      <x:c r="B104" t="str">
        <x:v>orinoco</x:v>
      </x:c>
      <x:c r="C104"/>
      <x:c r="D104" t="n">
        <x:v>0</x:v>
      </x:c>
      <x:c r="E104" t="str">
        <x:v>Short track; currently unassigned.</x:v>
      </x:c>
    </x:row>
    <x:row r="105">
      <x:c r="A105" t="n">
        <x:v>78</x:v>
      </x:c>
      <x:c r="B105" t="str">
        <x:v>not_so_private_eye</x:v>
      </x:c>
      <x:c r="C105" t="str">
        <x:v>Chapter 10 base — Who Is the Real Villain?</x:v>
      </x:c>
      <x:c r="D105" t="n">
        <x:v>1</x:v>
      </x:c>
      <x:c r="E105" t="str">
        <x:v>Chapter base theme.</x:v>
      </x:c>
    </x:row>
    <x:row r="106">
      <x:c r="A106" t="n">
        <x:v>79</x:v>
      </x:c>
      <x:c r="B106" t="str">
        <x:v>traffic_jam</x:v>
      </x:c>
      <x:c r="C106" t="str">
        <x:v>Chapter 4 base — Crime Wave</x:v>
      </x:c>
      <x:c r="D106" t="n">
        <x:v>1</x:v>
      </x:c>
      <x:c r="E106" t="str">
        <x:v>Chapter base theme.</x:v>
      </x:c>
    </x:row>
    <x:row r="107">
      <x:c r="A107" t="n">
        <x:v>80</x:v>
      </x:c>
      <x:c r="B107" t="str">
        <x:v>sand_storm</x:v>
      </x:c>
      <x:c r="C107" t="str">
        <x:v>Sandman</x:v>
      </x:c>
      <x:c r="D107" t="n">
        <x:v>1</x:v>
      </x:c>
      <x:c r="E107" t="str">
        <x:v>Villain assignment.</x:v>
      </x:c>
    </x:row>
    <x:row r="108">
      <x:c r="A108" t="n">
        <x:v>81</x:v>
      </x:c>
      <x:c r="B108" t="str">
        <x:v>let_there_be_drums</x:v>
      </x:c>
      <x:c r="C108" t="str">
        <x:v>Chapter 11 base — Time-Tossed Showdown</x:v>
      </x:c>
      <x:c r="D108" t="n">
        <x:v>1</x:v>
      </x:c>
      <x:c r="E108" t="str">
        <x:v>Chapter base theme.</x:v>
      </x:c>
    </x:row>
    <x:row r="111">
      <x:c r="A111" s="95" t="str">
        <x:v>Chapter Base Music</x:v>
      </x:c>
      <x:c r="B111" s="95"/>
      <x:c r="C111" s="95"/>
      <x:c r="D111" s="95"/>
      <x:c r="E111" s="95"/>
    </x:row>
    <x:row r="112">
      <x:c r="A112" s="97" t="str">
        <x:v>Chapter #</x:v>
      </x:c>
      <x:c r="B112" s="97" t="str">
        <x:v>Chapter</x:v>
      </x:c>
      <x:c r="C112" s="97" t="str">
        <x:v>Song #</x:v>
      </x:c>
      <x:c r="D112" s="97" t="str">
        <x:v>Configured Asset</x:v>
      </x:c>
      <x:c r="E112" s="97" t="str">
        <x:v>Restore Behavior</x:v>
      </x:c>
    </x:row>
    <x:row r="113">
      <x:c r="A113" t="n">
        <x:v>1</x:v>
      </x:c>
      <x:c r="B113" t="str">
        <x:v>Sinister Surge</x:v>
      </x:c>
      <x:c r="C113" t="n">
        <x:v>1</x:v>
      </x:c>
      <x:c r="D113" t="str">
        <x:v>prowl_car</x:v>
      </x:c>
      <x:c r="E113" t="str">
        <x:v>After skill shot and villain summary</x:v>
      </x:c>
    </x:row>
    <x:row r="114">
      <x:c r="A114" t="n">
        <x:v>2</x:v>
      </x:c>
      <x:c r="B114" t="str">
        <x:v>Mastermind Trap</x:v>
      </x:c>
      <x:c r="C114" t="n">
        <x:v>2</x:v>
      </x:c>
      <x:c r="D114" t="str">
        <x:v>panic_patrol</x:v>
      </x:c>
      <x:c r="E114" t="str">
        <x:v>After skill shot and villain summary</x:v>
      </x:c>
    </x:row>
    <x:row r="115">
      <x:c r="A115" t="n">
        <x:v>3</x:v>
      </x:c>
      <x:c r="B115" t="str">
        <x:v>Trubble Unleashed</x:v>
      </x:c>
      <x:c r="C115" t="n">
        <x:v>71</x:v>
      </x:c>
      <x:c r="D115" t="str">
        <x:v>hell_raisers</x:v>
      </x:c>
      <x:c r="E115" t="str">
        <x:v>After skill shot and villain summary</x:v>
      </x:c>
    </x:row>
    <x:row r="116">
      <x:c r="A116" t="n">
        <x:v>4</x:v>
      </x:c>
      <x:c r="B116" t="str">
        <x:v>Crime Wave</x:v>
      </x:c>
      <x:c r="C116" t="n">
        <x:v>79</x:v>
      </x:c>
      <x:c r="D116" t="str">
        <x:v>traffic_jam</x:v>
      </x:c>
      <x:c r="E116" t="str">
        <x:v>After skill shot and villain summary</x:v>
      </x:c>
    </x:row>
    <x:row r="117">
      <x:c r="A117" t="n">
        <x:v>5</x:v>
      </x:c>
      <x:c r="B117" t="str">
        <x:v>The Web Tightens</x:v>
      </x:c>
      <x:c r="C117" t="n">
        <x:v>68</x:v>
      </x:c>
      <x:c r="D117" t="str">
        <x:v>men_of_action</x:v>
      </x:c>
      <x:c r="E117" t="str">
        <x:v>After skill shot and villain summary</x:v>
      </x:c>
    </x:row>
    <x:row r="118">
      <x:c r="A118" t="n">
        <x:v>6</x:v>
      </x:c>
      <x:c r="B118" t="str">
        <x:v>Fifth Dimension Curse</x:v>
      </x:c>
      <x:c r="C118" t="n">
        <x:v>25</x:v>
      </x:c>
      <x:c r="D118" t="str">
        <x:v>waiting</x:v>
      </x:c>
      <x:c r="E118" t="str">
        <x:v>After skill shot and villain summary</x:v>
      </x:c>
    </x:row>
    <x:row r="119">
      <x:c r="A119" t="n">
        <x:v>7</x:v>
      </x:c>
      <x:c r="B119" t="str">
        <x:v>Mad Science Meltdown</x:v>
      </x:c>
      <x:c r="C119" t="n">
        <x:v>67</x:v>
      </x:c>
      <x:c r="D119" t="str">
        <x:v>sample_syndicate</x:v>
      </x:c>
      <x:c r="E119" t="str">
        <x:v>After skill shot and villain summary</x:v>
      </x:c>
    </x:row>
    <x:row r="120">
      <x:c r="A120" t="n">
        <x:v>8</x:v>
      </x:c>
      <x:c r="B120" t="str">
        <x:v>Nature Strikes Back</x:v>
      </x:c>
      <x:c r="C120" t="n">
        <x:v>66</x:v>
      </x:c>
      <x:c r="D120" t="str">
        <x:v>tropic_waters</x:v>
      </x:c>
      <x:c r="E120" t="str">
        <x:v>After skill shot and villain summary</x:v>
      </x:c>
    </x:row>
    <x:row r="121">
      <x:c r="A121" t="n">
        <x:v>9</x:v>
      </x:c>
      <x:c r="B121" t="str">
        <x:v>Invasion from Everywhere</x:v>
      </x:c>
      <x:c r="C121" t="n">
        <x:v>65</x:v>
      </x:c>
      <x:c r="D121" t="str">
        <x:v>assault_course</x:v>
      </x:c>
      <x:c r="E121" t="str">
        <x:v>After skill shot and villain summary</x:v>
      </x:c>
    </x:row>
    <x:row r="122">
      <x:c r="A122" t="n">
        <x:v>10</x:v>
      </x:c>
      <x:c r="B122" t="str">
        <x:v>Who Is the Real Villain?</x:v>
      </x:c>
      <x:c r="C122" t="n">
        <x:v>78</x:v>
      </x:c>
      <x:c r="D122" t="str">
        <x:v>not_so_private_eye</x:v>
      </x:c>
      <x:c r="E122" t="str">
        <x:v>After skill shot and villain summary</x:v>
      </x:c>
    </x:row>
    <x:row r="123">
      <x:c r="A123" t="n">
        <x:v>11</x:v>
      </x:c>
      <x:c r="B123" t="str">
        <x:v>Time-Tossed Showdown</x:v>
      </x:c>
      <x:c r="C123" t="n">
        <x:v>81</x:v>
      </x:c>
      <x:c r="D123" t="str">
        <x:v>let_there_be_drums</x:v>
      </x:c>
      <x:c r="E123" t="str">
        <x:v>After skill shot and villain summary</x:v>
      </x:c>
    </x:row>
  </x:sheetData>
  <x:mergeCells>
    <x:mergeCell ref="A2:E2"/>
    <x:mergeCell ref="A1:E1"/>
    <x:mergeCell ref="A66:E66"/>
    <x:mergeCell ref="A74:E74"/>
    <x:mergeCell ref="A3:E3"/>
  </x:mergeCells>
  <x:pageMargins left="0.7" right="0.7" top="0.75" bottom="0.75" header="0.3" footer="0.3"/>
</x:worksheet>
</file>