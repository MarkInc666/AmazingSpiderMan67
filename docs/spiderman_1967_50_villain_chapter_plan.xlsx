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ncitti\Documents\GitHub\AmazingSpiderMan67\docs\"/>
    </mc:Choice>
  </mc:AlternateContent>
  <xr:revisionPtr revIDLastSave="0" documentId="8_{1DD19EEB-1B5D-4D4D-AC25-8B1B8FAEC203}" xr6:coauthVersionLast="47" xr6:coauthVersionMax="47" xr10:uidLastSave="{00000000-0000-0000-0000-000000000000}"/>
  <bookViews>
    <workbookView xWindow="2670" yWindow="1050" windowWidth="25305" windowHeight="13770" xr2:uid="{00000000-000D-0000-FFFF-FFFF00000000}"/>
  </bookViews>
  <sheets>
    <sheet name="50 Villain Plan" sheetId="1" r:id="rId1"/>
    <sheet name="Summary" sheetId="2" r:id="rId2"/>
    <sheet name="Sources" sheetId="3" r:id="rId3"/>
    <sheet name="Mini-Wizards" sheetId="4" r:id="rId4"/>
    <sheet name="Mechanic Templates" sheetId="5" r:id="rId5"/>
    <sheet name="Design Summary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0" i="6" l="1"/>
  <c r="E9" i="6"/>
  <c r="E8" i="6"/>
  <c r="B8" i="6"/>
  <c r="E7" i="6"/>
  <c r="B7" i="6"/>
  <c r="E6" i="6"/>
  <c r="B6" i="6"/>
  <c r="E5" i="6"/>
  <c r="B5" i="6"/>
  <c r="E4" i="6"/>
  <c r="B4" i="6"/>
</calcChain>
</file>

<file path=xl/sharedStrings.xml><?xml version="1.0" encoding="utf-8"?>
<sst xmlns="http://schemas.openxmlformats.org/spreadsheetml/2006/main" count="1588" uniqueCount="1204">
  <si>
    <t>Chapter</t>
  </si>
  <si>
    <t>Slot</t>
  </si>
  <si>
    <t>Villain / Mode Theme</t>
  </si>
  <si>
    <t>Episode / Story</t>
  </si>
  <si>
    <t>1967 Status</t>
  </si>
  <si>
    <t>Current Code Status</t>
  </si>
  <si>
    <t>Needed</t>
  </si>
  <si>
    <t>Mode Key / Suggested Key</t>
  </si>
  <si>
    <t>Source URL</t>
  </si>
  <si>
    <t>Mode Type</t>
  </si>
  <si>
    <t>Core Mechanic Family</t>
  </si>
  <si>
    <t>Core Mechanic / Rules Sketch</t>
  </si>
  <si>
    <t>Main Shots</t>
  </si>
  <si>
    <t>Jackpot / Main Goal</t>
  </si>
  <si>
    <t>Difficulty Ramp</t>
  </si>
  <si>
    <t>Case File 1: More Jackpots</t>
  </si>
  <si>
    <t>Case File 2: Bigger Jackpots</t>
  </si>
  <si>
    <t>Case File 3: More Time</t>
  </si>
  <si>
    <t>Case File 4: Safety Net</t>
  </si>
  <si>
    <t>Case File 5: Wildcard Helper</t>
  </si>
  <si>
    <t>Mini-Wizard Contribution</t>
  </si>
  <si>
    <t>Build Priority</t>
  </si>
  <si>
    <t>Reuse / Design Notes</t>
  </si>
  <si>
    <t>1 - Classic Rogues</t>
  </si>
  <si>
    <t>Rhino</t>
  </si>
  <si>
    <t>Horn of the Rhino / The Golden Rhino / Rhino</t>
  </si>
  <si>
    <t>Confirmed</t>
  </si>
  <si>
    <t>In code - real/active mode</t>
  </si>
  <si>
    <t>Existing mode; add case-file effects, tune, polish video/callouts</t>
  </si>
  <si>
    <t>rhino</t>
  </si>
  <si>
    <t>https://epguides.com/SpiderMan_1967/</t>
  </si>
  <si>
    <t>Full mode</t>
  </si>
  <si>
    <t>Pop build + jackpot</t>
  </si>
  <si>
    <t>Pops build Rage; targets add jackpot; collect up to 3 jackpots.</t>
  </si>
  <si>
    <t>Pops, right bank, lit jackpot shot</t>
  </si>
  <si>
    <t>Build Rage and cash jackpot.</t>
  </si>
  <si>
    <t>Higher Rage stages raise value and visual intensity.</t>
  </si>
  <si>
    <t>+1 extra Rhino jackpot chance.</t>
  </si>
  <si>
    <t>+25% base jackpot.</t>
  </si>
  <si>
    <t>+5s before mode timeout/decay if used.</t>
  </si>
  <si>
    <t>10s ball save on first dangerous phase.</t>
  </si>
  <si>
    <t>Start one Rage stage higher.</t>
  </si>
  <si>
    <t>Chapter 1: brute-force area clear.</t>
  </si>
  <si>
    <t>Locked / polish</t>
  </si>
  <si>
    <t>Keep as-is for now; only tune helpers/callouts.</t>
  </si>
  <si>
    <t>Vulture</t>
  </si>
  <si>
    <t>The Vulture's Prey</t>
  </si>
  <si>
    <t>Existing mode; add case-file effects and polish</t>
  </si>
  <si>
    <t>vulture</t>
  </si>
  <si>
    <t>Upper-playfield timed attack</t>
  </si>
  <si>
    <t>Timed rooftop entry; upper targets cycle values; spinner scoring grows by stage.</t>
  </si>
  <si>
    <t>Upper targets, upper spinner, upper exits</t>
  </si>
  <si>
    <t>Reach max stage and score upper jackpot/add-a-ball.</t>
  </si>
  <si>
    <t>Target values cycle faster; idle dropback gets stricter.</t>
  </si>
  <si>
    <t>+1 extra upper jackpot/add-a-ball chance.</t>
  </si>
  <si>
    <t>+25% upper target/spinner stage value.</t>
  </si>
  <si>
    <t>+5s rooftop timer.</t>
  </si>
  <si>
    <t>10s save when sent back from upper playfield.</t>
  </si>
  <si>
    <t>Freeze target decay once per mode.</t>
  </si>
  <si>
    <t>Chapter 1: aerial/upper-playfield phase.</t>
  </si>
  <si>
    <t>Reuse skeleton later for Sky Master.</t>
  </si>
  <si>
    <t>Lizard</t>
  </si>
  <si>
    <t>Where Crawls the Lizard / Conner's Reptiles</t>
  </si>
  <si>
    <t>Existing mode; good first case-file integration test</t>
  </si>
  <si>
    <t>lizard</t>
  </si>
  <si>
    <t>Timed delivery</t>
  </si>
  <si>
    <t>Collect serum at star, deliver to lit web targets before value decays.</t>
  </si>
  <si>
    <t>Star, left web target, center web target</t>
  </si>
  <si>
    <t>Deliver serum for high-value cure jackpot.</t>
  </si>
  <si>
    <t>Later deliveries decay faster or need extra step.</t>
  </si>
  <si>
    <t>+1 extra delivery allowed.</t>
  </si>
  <si>
    <t>+250k to delivery base.</t>
  </si>
  <si>
    <t>+5s on active delivery timer.</t>
  </si>
  <si>
    <t>Protect drain after serum collect.</t>
  </si>
  <si>
    <t>One failed delivery does not end mode.</t>
  </si>
  <si>
    <t>Chapter 1: delivery objective.</t>
  </si>
  <si>
    <t>Reuse delivery skeleton for Ponce/fountain or Doctor Manta.</t>
  </si>
  <si>
    <t>Sandman</t>
  </si>
  <si>
    <t>Sands of Crime</t>
  </si>
  <si>
    <t>Existing mode; add case-file effects and tune moving target</t>
  </si>
  <si>
    <t>sandman</t>
  </si>
  <si>
    <t>Moving lit target</t>
  </si>
  <si>
    <t>Moving flash across right bank; correct target scores big; wrong target scores small.</t>
  </si>
  <si>
    <t>Right 5-bank</t>
  </si>
  <si>
    <t>Complete moving target rounds and perfect-order bonus.</t>
  </si>
  <si>
    <t>Lit target moves faster; stricter perfect sequence.</t>
  </si>
  <si>
    <t>+1 bonus perfect-round jackpot.</t>
  </si>
  <si>
    <t>+25% flashing target and perfect bonus.</t>
  </si>
  <si>
    <t>+5s before movement speed-up.</t>
  </si>
  <si>
    <t>Save if drain immediately after wrong bank hit.</t>
  </si>
  <si>
    <t>One wrong target ignored.</t>
  </si>
  <si>
    <t>Chapter 1: precision bank phase.</t>
  </si>
  <si>
    <t>Reuse for Fiddler rhythm and Cowboy quickdraw.</t>
  </si>
  <si>
    <t>Electro</t>
  </si>
  <si>
    <t>Electro the Human Lightning Bolt / Kilowatt Kaper</t>
  </si>
  <si>
    <t>Existing mode; add case-file effects and maybe Super Spinner tie-in</t>
  </si>
  <si>
    <t>electro</t>
  </si>
  <si>
    <t>Traveling spark</t>
  </si>
  <si>
    <t>Spark jumps among shot groups; hit lit spark to disable power nodes; 5th is super.</t>
  </si>
  <si>
    <t>Web targets, spinner, drops, upper targets</t>
  </si>
  <si>
    <t>Disable sparks and collect super.</t>
  </si>
  <si>
    <t>Spark timer shortens after each hit.</t>
  </si>
  <si>
    <t>+1 extra spark jackpot before super.</t>
  </si>
  <si>
    <t>+25% spark/super value.</t>
  </si>
  <si>
    <t>+5s spark timer extension.</t>
  </si>
  <si>
    <t>Ball save when spark timer reaches danger zone.</t>
  </si>
  <si>
    <t>Start with first spark spotted longer.</t>
  </si>
  <si>
    <t>Chapter 1: traveling-shot phase.</t>
  </si>
  <si>
    <t>Reuse for Matto Magneto / Doctor Zapp.</t>
  </si>
  <si>
    <t>2 - Masterminds</t>
  </si>
  <si>
    <t>Doctor Octopus</t>
  </si>
  <si>
    <t>The Power of Dr. Octopus / The Terrible Triumph of Dr. Octopus</t>
  </si>
  <si>
    <t>Existing mode; add case-file effects; tune arm release</t>
  </si>
  <si>
    <t>doc_ock</t>
  </si>
  <si>
    <t>Risk locks + spinner multiplier</t>
  </si>
  <si>
    <t>Lock arms via rollovers; spinner raises multiplier; jackpots add breakouts that release arms.</t>
  </si>
  <si>
    <t>Rollovers, spinner, web targets, top saucers</t>
  </si>
  <si>
    <t>Collect jackpots before all arms are free.</t>
  </si>
  <si>
    <t>Timed arm release begins after 2 jackpots.</t>
  </si>
  <si>
    <t>+1 extra breakout/jackpot opportunity.</t>
  </si>
  <si>
    <t>+25% base jackpot or locked-arm multiplier boost.</t>
  </si>
  <si>
    <t>+5s before timed arm release starts.</t>
  </si>
  <si>
    <t>Safety net prevents one fatal arm release from ending mode.</t>
  </si>
  <si>
    <t>Start with 2 arms locked instead of 1.</t>
  </si>
  <si>
    <t>Chapter 2: multi-step control phase.</t>
  </si>
  <si>
    <t>Already has strong mode identity.</t>
  </si>
  <si>
    <t>Mysterio</t>
  </si>
  <si>
    <t>The Menace of Mysterio / Return of the Flying Dutchman / The Madness of Mysterio</t>
  </si>
  <si>
    <t>Existing mode; add case-file effects and clue feedback polish</t>
  </si>
  <si>
    <t>mysterio</t>
  </si>
  <si>
    <t>Hidden correct shot / clues</t>
  </si>
  <si>
    <t>Many lit shots, one true Super Jackpot; wrong shots give clues and reduce value.</t>
  </si>
  <si>
    <t>10 lit shots, clue shots</t>
  </si>
  <si>
    <t>Find hidden Super Jackpot.</t>
  </si>
  <si>
    <t>More decoys and larger wrong-shot penalties.</t>
  </si>
  <si>
    <t>+1 extra super jackpot after first find.</t>
  </si>
  <si>
    <t>+25% Super Jackpot start value.</t>
  </si>
  <si>
    <t>+5s/extra clue before value penalty.</t>
  </si>
  <si>
    <t>Wrong drain grants clue instead of ending chance.</t>
  </si>
  <si>
    <t>Reveal a directional clue at start.</t>
  </si>
  <si>
    <t>Chapter 2: mystery/clue phase.</t>
  </si>
  <si>
    <t>Reuse skeleton for Noah Boddy and Blackwell.</t>
  </si>
  <si>
    <t>Green Goblin</t>
  </si>
  <si>
    <t>Magic Malice</t>
  </si>
  <si>
    <t>Existing mode; add case-file effects and Chaos Pops/widget polish</t>
  </si>
  <si>
    <t>goblin</t>
  </si>
  <si>
    <t>Chaos multiball + saucer lock</t>
  </si>
  <si>
    <t>Two-ball chaos; flashing shots worth big; saucer lock preserves bonus and changes hold time.</t>
  </si>
  <si>
    <t>Flashing shots, saucers</t>
  </si>
  <si>
    <t>Build chaos bonus and lock/cash jackpots.</t>
  </si>
  <si>
    <t>Flashing windows shrink; lock holds get shorter.</t>
  </si>
  <si>
    <t>+1 extra chaos jackpot shot.</t>
  </si>
  <si>
    <t>+25% locked chaos bonus.</t>
  </si>
  <si>
    <t>+5s flashing-shot window.</t>
  </si>
  <si>
    <t>10s save at multiball start or after first lock.</t>
  </si>
  <si>
    <t>One bad solid-shot hit ignored.</t>
  </si>
  <si>
    <t>Chapter 2: chaos multiball phase.</t>
  </si>
  <si>
    <t>Can feed Chaos Pops system.</t>
  </si>
  <si>
    <t>Scorpion</t>
  </si>
  <si>
    <t>Never Step on a Scorpion / Sting of the Scorpion</t>
  </si>
  <si>
    <t>Existing mode; add case-file effects and tune sting window</t>
  </si>
  <si>
    <t>scorpion</t>
  </si>
  <si>
    <t>Choose exit + bank finish</t>
  </si>
  <si>
    <t>Spinner builds venom; choose exit; auto-drop part of a bank; finish remaining target quickly.</t>
  </si>
  <si>
    <t>Spinner, upper exits, drop banks</t>
  </si>
  <si>
    <t>Complete sting sequence jackpots.</t>
  </si>
  <si>
    <t>Shorter finish window; harder remaining target choice.</t>
  </si>
  <si>
    <t>+1 extra sting attempt.</t>
  </si>
  <si>
    <t>+25% sting jackpot.</t>
  </si>
  <si>
    <t>+5s finish window.</t>
  </si>
  <si>
    <t>Safety net gives one extra finish chance.</t>
  </si>
  <si>
    <t>Start venom halfway charged.</t>
  </si>
  <si>
    <t>Chapter 2: venom sequence phase.</t>
  </si>
  <si>
    <t>Reuse sequence skeleton for Enforcers/Ox.</t>
  </si>
  <si>
    <t>Parafino</t>
  </si>
  <si>
    <t>The Peril of Parafino / The Night of the Villains</t>
  </si>
  <si>
    <t>Existing mode; add case-file effects and tune multiball</t>
  </si>
  <si>
    <t>parafino</t>
  </si>
  <si>
    <t>Area heat multiball</t>
  </si>
  <si>
    <t>Two-ball MB; heat areas to max; collect saucer jackpots tied to area.</t>
  </si>
  <si>
    <t>Left drops, right drops, pops, saucers</t>
  </si>
  <si>
    <t>Max heat in areas and collect wax jackpots.</t>
  </si>
  <si>
    <t>Heat cools faster; add-a-ball becomes rarer.</t>
  </si>
  <si>
    <t>+1 extra area jackpot/add-a-ball chance.</t>
  </si>
  <si>
    <t>+25% saucer jackpot.</t>
  </si>
  <si>
    <t>+5s before heat cool-down.</t>
  </si>
  <si>
    <t>10s MB save or save after wax jackpot lit.</t>
  </si>
  <si>
    <t>One area starts at Heat 2.</t>
  </si>
  <si>
    <t>Chapter 2: area-control MB phase.</t>
  </si>
  <si>
    <t>Recent 2s saucer eject delay added.</t>
  </si>
  <si>
    <t>3 - Monsters</t>
  </si>
  <si>
    <t>Centaur</t>
  </si>
  <si>
    <t>The One-Eyed Idol</t>
  </si>
  <si>
    <t>Confirmed in villain index; episode mapping to verify</t>
  </si>
  <si>
    <t>In code - placeholder/skeleton mode</t>
  </si>
  <si>
    <t>Placeholder exists; build Charge/Trap rules; possible pop-up post use</t>
  </si>
  <si>
    <t>centaur</t>
  </si>
  <si>
    <t>https://marvelanimated.fandom.com/wiki/Category:Villains_(Spider-Man_(1967))</t>
  </si>
  <si>
    <t>Medium mode</t>
  </si>
  <si>
    <t>Charge / trap</t>
  </si>
  <si>
    <t>Centaur charges between lanes; hit lit counter-shot to trap him before he reaches escape.</t>
  </si>
  <si>
    <t>Inlanes/outlanes, spinner, web target</t>
  </si>
  <si>
    <t>Trap three charges for jackpot.</t>
  </si>
  <si>
    <t>Charge path speeds up and counter-shot narrows.</t>
  </si>
  <si>
    <t>+1 extra trap jackpot.</t>
  </si>
  <si>
    <t>+25% trap jackpot.</t>
  </si>
  <si>
    <t>+5s charge timer.</t>
  </si>
  <si>
    <t>One missed charge becomes a warning instead of fail.</t>
  </si>
  <si>
    <t>Start with first counter-shot lit.</t>
  </si>
  <si>
    <t>Chapter 3: monster charge clear.</t>
  </si>
  <si>
    <t>High</t>
  </si>
  <si>
    <t>Reuse Rhino/Sandman timing without full custom system.</t>
  </si>
  <si>
    <t>Cerberus</t>
  </si>
  <si>
    <t>Placeholder exists; build 3 upper targets -&gt; timed saucer jackpots</t>
  </si>
  <si>
    <t>cerberus</t>
  </si>
  <si>
    <t>Upper targets -&gt; timed saucers</t>
  </si>
  <si>
    <t>Hit 3 upper targets to light 3 saucer jackpots; collect before short countdown ends.</t>
  </si>
  <si>
    <t>Upper targets, saucers</t>
  </si>
  <si>
    <t>Collect all three heads/saucers.</t>
  </si>
  <si>
    <t>Countdown shorter each round; saucers time out one by one.</t>
  </si>
  <si>
    <t>+1 extra saucer jackpot after all three.</t>
  </si>
  <si>
    <t>+25% head jackpot.</t>
  </si>
  <si>
    <t>+5s saucer countdown.</t>
  </si>
  <si>
    <t>One timed-out saucer stays lit briefly.</t>
  </si>
  <si>
    <t>All heads start spotted once.</t>
  </si>
  <si>
    <t>Chapter 3: triple-saucer gate.</t>
  </si>
  <si>
    <t>Already noted as a good upper-target/saucer design.</t>
  </si>
  <si>
    <t>Cyclops</t>
  </si>
  <si>
    <t>Placeholder exists; build Eye opens/closes/focus rules</t>
  </si>
  <si>
    <t>cyclops</t>
  </si>
  <si>
    <t>Open/closed shot window</t>
  </si>
  <si>
    <t>Cyclops eye opens and closes; only shoot while eye is open for full value.</t>
  </si>
  <si>
    <t>Center target, spinner, upper center</t>
  </si>
  <si>
    <t>Score focused-eye jackpots.</t>
  </si>
  <si>
    <t>Eye open window shrinks; wrong timing reduces value.</t>
  </si>
  <si>
    <t>+1 extra eye jackpot.</t>
  </si>
  <si>
    <t>+25% focus jackpot.</t>
  </si>
  <si>
    <t>+5s before eye closes.</t>
  </si>
  <si>
    <t>One bad shot does not blind/end the round.</t>
  </si>
  <si>
    <t>Eye opens immediately after first hit.</t>
  </si>
  <si>
    <t>Chapter 3: precision timing phase.</t>
  </si>
  <si>
    <t>Reuse moving-window logic from Sandman.</t>
  </si>
  <si>
    <t>Reptilla</t>
  </si>
  <si>
    <t>Conner's Reptiles</t>
  </si>
  <si>
    <t>Placeholder exists; build Rampage mode; Super Pops candidate</t>
  </si>
  <si>
    <t>reptilla</t>
  </si>
  <si>
    <t>Rampage / Super Pops</t>
  </si>
  <si>
    <t>Reptilla rampages through pops and drops; build damage then hit lit escape shot.</t>
  </si>
  <si>
    <t>Pops, right bank, upper exit</t>
  </si>
  <si>
    <t>Build rampage damage and escape.</t>
  </si>
  <si>
    <t>More hits needed per damage level; escape timer shrinks.</t>
  </si>
  <si>
    <t>+1 extra rampage jackpot.</t>
  </si>
  <si>
    <t>+25% damage/jackpot value.</t>
  </si>
  <si>
    <t>+5s escape timer.</t>
  </si>
  <si>
    <t>Ball save after rampage maxes.</t>
  </si>
  <si>
    <t>Start with Super Pops lit.</t>
  </si>
  <si>
    <t>Chapter 3: monster rampage phase.</t>
  </si>
  <si>
    <t>Good Super Pops candidate.</t>
  </si>
  <si>
    <t>Mole Man</t>
  </si>
  <si>
    <t>Spiderman Battles the Molemen / Menace from the Bottom of the World</t>
  </si>
  <si>
    <t>Placeholder exists; build tunnel/saucer mystery mode</t>
  </si>
  <si>
    <t>mole_man</t>
  </si>
  <si>
    <t>Tunnel / hidden saucer</t>
  </si>
  <si>
    <t>Tunnel lights move between saucers; find Mole Man’s tunnel and cash before he relocates.</t>
  </si>
  <si>
    <t>Saucers, left drops, VUK</t>
  </si>
  <si>
    <t>Find/cash hidden tunnel jackpots.</t>
  </si>
  <si>
    <t>Tunnel relocates faster; wrong saucer reduces value.</t>
  </si>
  <si>
    <t>+1 extra tunnel jackpot.</t>
  </si>
  <si>
    <t>+25% hidden jackpot.</t>
  </si>
  <si>
    <t>+5s before relocation.</t>
  </si>
  <si>
    <t>Wrong saucer keeps ball protected briefly.</t>
  </si>
  <si>
    <t>Reveal tunnel after one wrong saucer.</t>
  </si>
  <si>
    <t>Chapter 3: hidden underground phase.</t>
  </si>
  <si>
    <t>Reuse mystery/saucer skeleton.</t>
  </si>
  <si>
    <t>4 - Crime Wave</t>
  </si>
  <si>
    <t>Enforcers</t>
  </si>
  <si>
    <t>Blueprint for Crime / To Catch a Spider</t>
  </si>
  <si>
    <t>Placeholder exists; build Take Down the Crew rules</t>
  </si>
  <si>
    <t>enforcers</t>
  </si>
  <si>
    <t>https://en.wikipedia.org/wiki/List_of_Spider-Man_%281967_TV_series%29_episodes</t>
  </si>
  <si>
    <t>Crew takedown</t>
  </si>
  <si>
    <t>Three crew members are assigned to three shot groups; clear each group, then collect boss jackpot.</t>
  </si>
  <si>
    <t>Drops, web targets, saucers</t>
  </si>
  <si>
    <t>Take down crew and collect boss jackpot.</t>
  </si>
  <si>
    <t>Crew rotates faster; wrong group relights previous member.</t>
  </si>
  <si>
    <t>+1 extra crew jackpot.</t>
  </si>
  <si>
    <t>+25% boss jackpot.</t>
  </si>
  <si>
    <t>+5s on active takedown.</t>
  </si>
  <si>
    <t>One crew member stays defeated after drain.</t>
  </si>
  <si>
    <t>Spot one crew member.</t>
  </si>
  <si>
    <t>Chapter 4: crime crew clear.</t>
  </si>
  <si>
    <t>Medium</t>
  </si>
  <si>
    <t>Reuse Scorpion bank-finish logic.</t>
  </si>
  <si>
    <t>Ox</t>
  </si>
  <si>
    <t>Blueprint for Crime</t>
  </si>
  <si>
    <t>Placeholder exists; build Brute Force/right-bank mode; pop-up post candidate</t>
  </si>
  <si>
    <t>ox</t>
  </si>
  <si>
    <t>Compact mode</t>
  </si>
  <si>
    <t>Brute-force bank bash</t>
  </si>
  <si>
    <t>Ox charges the right bank; lit target absorbs charge and builds jackpot.</t>
  </si>
  <si>
    <t>Right 5-bank, pops</t>
  </si>
  <si>
    <t>Bash through charge levels and collect.</t>
  </si>
  <si>
    <t>Required hits increase; charge reset on miss.</t>
  </si>
  <si>
    <t>+1 extra Ox jackpot.</t>
  </si>
  <si>
    <t>+25% brute jackpot.</t>
  </si>
  <si>
    <t>+5s charge hold.</t>
  </si>
  <si>
    <t>One charge reset blocked.</t>
  </si>
  <si>
    <t>Start with two charge hits spotted.</t>
  </si>
  <si>
    <t>Chapter 4: brute-force bank task.</t>
  </si>
  <si>
    <t>Compact Rhino-like bank mode.</t>
  </si>
  <si>
    <t>Fifth Avenue Phantom</t>
  </si>
  <si>
    <t>Fifth Avenue Phantom / The Dark Terrors</t>
  </si>
  <si>
    <t>Placeholder exists; build Vanish/Reveal rules</t>
  </si>
  <si>
    <t>fifth_avenue_phantom</t>
  </si>
  <si>
    <t>Vanish / reveal</t>
  </si>
  <si>
    <t>Phantom hides in one of several lit groups; use reveal shots to expose jackpot shot.</t>
  </si>
  <si>
    <t>Spinner, web targets, saucers</t>
  </si>
  <si>
    <t>Reveal Phantom and collect jewel jackpot.</t>
  </si>
  <si>
    <t>More decoys; reveal expires faster.</t>
  </si>
  <si>
    <t>+1 extra jewel jackpot.</t>
  </si>
  <si>
    <t>+25% jewel jackpot.</t>
  </si>
  <si>
    <t>+5s reveal window.</t>
  </si>
  <si>
    <t>One vanish does not reset clues.</t>
  </si>
  <si>
    <t>Reveal first decoy automatically.</t>
  </si>
  <si>
    <t>Chapter 4: reveal/disguise phase.</t>
  </si>
  <si>
    <t>Reuse Mysterio/Noah hidden-shot skeleton.</t>
  </si>
  <si>
    <t>Frederick Foswell</t>
  </si>
  <si>
    <t>To Catch a Spider</t>
  </si>
  <si>
    <t>Placeholder exists; build investigation/leads mode</t>
  </si>
  <si>
    <t>frederick_foswell</t>
  </si>
  <si>
    <t>Investigation leads</t>
  </si>
  <si>
    <t>Collect leads at flashing targets; enough leads lights accusation jackpot.</t>
  </si>
  <si>
    <t>Targets, spinner, saucers</t>
  </si>
  <si>
    <t>Gather 3 leads and accuse.</t>
  </si>
  <si>
    <t>More leads required; lead shots rotate.</t>
  </si>
  <si>
    <t>+1 extra accusation jackpot.</t>
  </si>
  <si>
    <t>+25% accusation value.</t>
  </si>
  <si>
    <t>+5s lead window.</t>
  </si>
  <si>
    <t>Drain preserves collected leads.</t>
  </si>
  <si>
    <t>Spot one lead.</t>
  </si>
  <si>
    <t>Chapter 4: investigation phase.</t>
  </si>
  <si>
    <t>Good narrative mode with simple rules.</t>
  </si>
  <si>
    <t>Blackwell</t>
  </si>
  <si>
    <t>Farewell Performance / Magic Malice</t>
  </si>
  <si>
    <t>Placeholder exists; build Scheme/Puzzle; limited-flip candidate</t>
  </si>
  <si>
    <t>blackwell</t>
  </si>
  <si>
    <t>Limited flips / stage trick</t>
  </si>
  <si>
    <t>Start with limited flips; correct trick shots restore flips and reveal the final stage shot.</t>
  </si>
  <si>
    <t>Web targets, saucers, right bank</t>
  </si>
  <si>
    <t>Solve the act before flips run out.</t>
  </si>
  <si>
    <t>Correct-shot flip awards shrink each act.</t>
  </si>
  <si>
    <t>+1 extra finale jackpot.</t>
  </si>
  <si>
    <t>+25% finale jackpot.</t>
  </si>
  <si>
    <t>+5 bonus flips at start.</t>
  </si>
  <si>
    <t>One drain/zero-flip grace save.</t>
  </si>
  <si>
    <t>Reveal one correct shot.</t>
  </si>
  <si>
    <t>Chapter 4: limited-flip puzzle.</t>
  </si>
  <si>
    <t>Use limited-flips skeleton here or Koga.</t>
  </si>
  <si>
    <t>5 - Weird Science</t>
  </si>
  <si>
    <t>Matto Magneto</t>
  </si>
  <si>
    <t>The Revenge of Dr. Magneto</t>
  </si>
  <si>
    <t>Not in code</t>
  </si>
  <si>
    <t>Add placeholder; moving-shot/spinner/magnet-style mode</t>
  </si>
  <si>
    <t>matto_magneto</t>
  </si>
  <si>
    <t>Magnetic pull / moving shot</t>
  </si>
  <si>
    <t>Magnet beam pulls lit shot around playfield; spinner stabilizes beam for a jackpot.</t>
  </si>
  <si>
    <t>Spinner, drops, web targets</t>
  </si>
  <si>
    <t>Stabilize and collect magnetic jackpot.</t>
  </si>
  <si>
    <t>Beam moves faster; less spinner grace.</t>
  </si>
  <si>
    <t>+1 extra magnetic jackpot.</t>
  </si>
  <si>
    <t>+25% magnetic value.</t>
  </si>
  <si>
    <t>+5s stable beam.</t>
  </si>
  <si>
    <t>One unstable miss protected.</t>
  </si>
  <si>
    <t>Spinner starts beam half-stabilized.</t>
  </si>
  <si>
    <t>Chapter 5: science control phase.</t>
  </si>
  <si>
    <t>Reuse Electro traveling-spark skeleton.</t>
  </si>
  <si>
    <t>Doctor Manta</t>
  </si>
  <si>
    <t>Neptune's Nose Cone</t>
  </si>
  <si>
    <t>Likely; episode mapping from title/index</t>
  </si>
  <si>
    <t>Add placeholder; underwater/saucer trap mode</t>
  </si>
  <si>
    <t>doctor_manta</t>
  </si>
  <si>
    <t>Underwater trap / saucer hold</t>
  </si>
  <si>
    <t>Manta traps ball in saucers; escape by hitting lit rescue shots and then cash at VUK/saucer.</t>
  </si>
  <si>
    <t>Saucers, VUK, upper targets</t>
  </si>
  <si>
    <t>Escape ocean trap and recover nose cone.</t>
  </si>
  <si>
    <t>Rescue windows shorten; traps relocate.</t>
  </si>
  <si>
    <t>+1 extra rescue jackpot.</t>
  </si>
  <si>
    <t>+25% recovery jackpot.</t>
  </si>
  <si>
    <t>+5s oxygen timer.</t>
  </si>
  <si>
    <t>Oxygen grace after drain/trap.</t>
  </si>
  <si>
    <t>Spot first rescue shot.</t>
  </si>
  <si>
    <t>Chapter 5: trap/escape phase.</t>
  </si>
  <si>
    <t>Reuse delivery/saucer-hold logic.</t>
  </si>
  <si>
    <t>Doctor Dumpty</t>
  </si>
  <si>
    <t>The Devious Dr. Dumpty</t>
  </si>
  <si>
    <t>Add placeholder; fragile/egg/sequence jackpot mode</t>
  </si>
  <si>
    <t>doctor_dumpty</t>
  </si>
  <si>
    <t>Fragile sequence</t>
  </si>
  <si>
    <t>Build fragile egg value with careful sequence; wrong shot cracks value but keeps play moving.</t>
  </si>
  <si>
    <t>Left drops, right bank, saucer</t>
  </si>
  <si>
    <t>Complete sequence before value breaks.</t>
  </si>
  <si>
    <t>More sequence steps; crack penalty grows.</t>
  </si>
  <si>
    <t>+1 extra egg jackpot.</t>
  </si>
  <si>
    <t>+25% intact jackpot.</t>
  </si>
  <si>
    <t>+5s before crack decay.</t>
  </si>
  <si>
    <t>One crack ignored.</t>
  </si>
  <si>
    <t>Start with first step spotted.</t>
  </si>
  <si>
    <t>Chapter 5: fragile sequence.</t>
  </si>
  <si>
    <t>A lighter sequence mode.</t>
  </si>
  <si>
    <t>Doctor Cool</t>
  </si>
  <si>
    <t>Cold Storage</t>
  </si>
  <si>
    <t>Add placeholder; freeze timers/frozen shots mode</t>
  </si>
  <si>
    <t>doctor_cool</t>
  </si>
  <si>
    <t>https://marvelanimated.fandom.com/wiki/Doctor_Cool_(Spider-Man_(1967))</t>
  </si>
  <si>
    <t>Freeze timers / thaw shots</t>
  </si>
  <si>
    <t>Shots freeze one by one; hit thaw shots to restore them and cash freeze jackpot.</t>
  </si>
  <si>
    <t>Pops, drops, upper targets</t>
  </si>
  <si>
    <t>Thaw all frozen shots.</t>
  </si>
  <si>
    <t>More shots freeze; thaw timer shortens.</t>
  </si>
  <si>
    <t>+1 extra freeze jackpot.</t>
  </si>
  <si>
    <t>+25% thaw jackpot.</t>
  </si>
  <si>
    <t>+5s freeze timer.</t>
  </si>
  <si>
    <t>One frozen shot auto-thaws after drain.</t>
  </si>
  <si>
    <t>Start with one thaw spotted.</t>
  </si>
  <si>
    <t>Chapter 5: freeze-control phase.</t>
  </si>
  <si>
    <t>Reuse Snowman system later with changes.</t>
  </si>
  <si>
    <t>Doctor Zapp</t>
  </si>
  <si>
    <t>Kilowatt Kaper or electricity-themed story - verify</t>
  </si>
  <si>
    <t>Needs episode verification</t>
  </si>
  <si>
    <t>Add as backup-ish science slot only after verifying episode</t>
  </si>
  <si>
    <t>doctor_zapp</t>
  </si>
  <si>
    <t>Electric chain</t>
  </si>
  <si>
    <t>Chain electricity through shot groups; each correct chain step lights higher jackpot.</t>
  </si>
  <si>
    <t>Spinner, right bank, web targets</t>
  </si>
  <si>
    <t>Complete chain and cash zap jackpot.</t>
  </si>
  <si>
    <t>Chain resets on wrong group; faster window.</t>
  </si>
  <si>
    <t>+1 extra chain jackpot.</t>
  </si>
  <si>
    <t>+25% zap jackpot.</t>
  </si>
  <si>
    <t>+5s chain timer.</t>
  </si>
  <si>
    <t>One chain break forgiven.</t>
  </si>
  <si>
    <t>Start with first two chain nodes lit.</t>
  </si>
  <si>
    <t>Chapter 5: electric-chain phase.</t>
  </si>
  <si>
    <t>Low / verify</t>
  </si>
  <si>
    <t>Use only if episode verification holds; else backup.</t>
  </si>
  <si>
    <t>6 - Mystic Menace</t>
  </si>
  <si>
    <t>Fantastic Fakir</t>
  </si>
  <si>
    <t>The Fantastic Fakir</t>
  </si>
  <si>
    <t>Add placeholder; animal/illusion/flute control mode</t>
  </si>
  <si>
    <t>fantastic_fakir</t>
  </si>
  <si>
    <t>https://dcanimated.com/WF/sections/specials/spidey67/review/episode/fantastic/</t>
  </si>
  <si>
    <t>Animal control / rhythm</t>
  </si>
  <si>
    <t>Fakir controls animals; hit rhythm shots in order to break control and light jackpot.</t>
  </si>
  <si>
    <t>Spinner, pops, web targets</t>
  </si>
  <si>
    <t>Break the spell and collect charm jackpot.</t>
  </si>
  <si>
    <t>Order length increases; rhythm window shrinks.</t>
  </si>
  <si>
    <t>+1 extra charm jackpot.</t>
  </si>
  <si>
    <t>+25% charm jackpot.</t>
  </si>
  <si>
    <t>+5s rhythm window.</t>
  </si>
  <si>
    <t>One missed rhythm step forgiven.</t>
  </si>
  <si>
    <t>Reveal next rhythm shot.</t>
  </si>
  <si>
    <t>Chapter 6: control-breaking phase.</t>
  </si>
  <si>
    <t>Reuse Fiddler/Koga rhythm-control skeleton.</t>
  </si>
  <si>
    <t>Kotep</t>
  </si>
  <si>
    <t>The Evil Sorcerer</t>
  </si>
  <si>
    <t>Likely</t>
  </si>
  <si>
    <t>Add placeholder; curse/ancient sorcerer rules</t>
  </si>
  <si>
    <t>kotep</t>
  </si>
  <si>
    <t>Curse / relics</t>
  </si>
  <si>
    <t>Collect relic shots to weaken curse; wrong shots strengthen curse meter.</t>
  </si>
  <si>
    <t>Saucers, upper targets, drops</t>
  </si>
  <si>
    <t>Break curse and collect relic jackpot.</t>
  </si>
  <si>
    <t>Curse meter rises faster; relics relight slower.</t>
  </si>
  <si>
    <t>+1 extra relic jackpot.</t>
  </si>
  <si>
    <t>+25% relic jackpot.</t>
  </si>
  <si>
    <t>+5s curse grace.</t>
  </si>
  <si>
    <t>One curse max-out prevented.</t>
  </si>
  <si>
    <t>Spot one relic.</t>
  </si>
  <si>
    <t>Chapter 6: relic collection.</t>
  </si>
  <si>
    <t>Mystic reskin of investigation/collection.</t>
  </si>
  <si>
    <t>Infinata</t>
  </si>
  <si>
    <t>Revolt in the Fifth Dimension</t>
  </si>
  <si>
    <t>Add placeholder; dimension/looping shots mode</t>
  </si>
  <si>
    <t>infinata</t>
  </si>
  <si>
    <t>Dimension loop</t>
  </si>
  <si>
    <t>Shots loop through dimensions; hit sequence to escape loop and collect jackpot.</t>
  </si>
  <si>
    <t>Upper loop, spinner, saucers</t>
  </si>
  <si>
    <t>Escape fifth dimension.</t>
  </si>
  <si>
    <t>Loop order changes faster; fewer repeats.</t>
  </si>
  <si>
    <t>+1 extra dimension jackpot.</t>
  </si>
  <si>
    <t>+25% escape jackpot.</t>
  </si>
  <si>
    <t>+5s loop timer.</t>
  </si>
  <si>
    <t>One loop reset ignored.</t>
  </si>
  <si>
    <t>Lock first dimension shot.</t>
  </si>
  <si>
    <t>Chapter 6: dimension-loop phase.</t>
  </si>
  <si>
    <t>Strong candidate for weird visual treatment.</t>
  </si>
  <si>
    <t>Pardo</t>
  </si>
  <si>
    <t>Pardo Presents</t>
  </si>
  <si>
    <t>Add placeholder; mind-control/performance mode</t>
  </si>
  <si>
    <t>pardo</t>
  </si>
  <si>
    <t>https://dcanimated.com/WF/sections/specials/spidey67/review/episode/pardo/</t>
  </si>
  <si>
    <t>Performance / mind control</t>
  </si>
  <si>
    <t>Pardo presents acts; each act uses a different small shot set, ending in creature jackpot.</t>
  </si>
  <si>
    <t>Targets, spinner, pops, saucers</t>
  </si>
  <si>
    <t>Finish acts and defeat performance.</t>
  </si>
  <si>
    <t>More acts; less preview time.</t>
  </si>
  <si>
    <t>+1 extra act jackpot.</t>
  </si>
  <si>
    <t>+5s act timer.</t>
  </si>
  <si>
    <t>One failed act repeats instead of ends.</t>
  </si>
  <si>
    <t>First act starts half-complete.</t>
  </si>
  <si>
    <t>Chapter 6: show-act phase.</t>
  </si>
  <si>
    <t>Can include Giant Cat as phase instead of separate slot.</t>
  </si>
  <si>
    <t>Vulcan</t>
  </si>
  <si>
    <t>Vulcan-themed story - verify exact episode</t>
  </si>
  <si>
    <t>Add placeholder only after confirming episode</t>
  </si>
  <si>
    <t>vulcan</t>
  </si>
  <si>
    <t>Heat / forge</t>
  </si>
  <si>
    <t>Build heat at spinner/pops, then forge jackpot at lit target before heat cools.</t>
  </si>
  <si>
    <t>Spinner, pops, center target</t>
  </si>
  <si>
    <t>Forge/cash heat jackpot.</t>
  </si>
  <si>
    <t>Heat cools faster; more heat required.</t>
  </si>
  <si>
    <t>+1 extra forge jackpot.</t>
  </si>
  <si>
    <t>+25% forged value.</t>
  </si>
  <si>
    <t>+5s heat hold.</t>
  </si>
  <si>
    <t>One overheat/drain protected.</t>
  </si>
  <si>
    <t>Start with heat meter partly filled.</t>
  </si>
  <si>
    <t>Chapter 6: fire/forge phase.</t>
  </si>
  <si>
    <t>Keep as compact if verified.</t>
  </si>
  <si>
    <t>7 - Robot Rampage</t>
  </si>
  <si>
    <t>Spider-Slayer</t>
  </si>
  <si>
    <t>Captured by J. Jonah Jameson</t>
  </si>
  <si>
    <t>Add placeholder; robot attack/target priority mode</t>
  </si>
  <si>
    <t>spider_slayer</t>
  </si>
  <si>
    <t>Target priority / robot attack</t>
  </si>
  <si>
    <t>Robot locks onto shot groups; hit priority target before attack resolves.</t>
  </si>
  <si>
    <t>Drop banks, web targets, spinner</t>
  </si>
  <si>
    <t>Disable robot systems and collect Slayer jackpot.</t>
  </si>
  <si>
    <t>Attack timer shortens; more systems required.</t>
  </si>
  <si>
    <t>+1 extra system jackpot.</t>
  </si>
  <si>
    <t>+25% Slayer jackpot.</t>
  </si>
  <si>
    <t>+5s attack timer.</t>
  </si>
  <si>
    <t>One attack blocked.</t>
  </si>
  <si>
    <t>Spot first system.</t>
  </si>
  <si>
    <t>Chapter 7: robot defense phase.</t>
  </si>
  <si>
    <t>Good reusable robot skeleton.</t>
  </si>
  <si>
    <t>Henry Smythe</t>
  </si>
  <si>
    <t>Add placeholder; Spider-Slayer builder/tech mode</t>
  </si>
  <si>
    <t>henry_smythe</t>
  </si>
  <si>
    <t>Builder / repair cycle</t>
  </si>
  <si>
    <t>Smythe repairs disabled robot systems unless repair shots are stopped.</t>
  </si>
  <si>
    <t>Spinner, targets, saucers</t>
  </si>
  <si>
    <t>Stop repairs then cash builder jackpot.</t>
  </si>
  <si>
    <t>Repair cycle faster; more repairs to stop.</t>
  </si>
  <si>
    <t>+1 extra builder jackpot.</t>
  </si>
  <si>
    <t>+25% builder jackpot.</t>
  </si>
  <si>
    <t>+5s repair timer.</t>
  </si>
  <si>
    <t>One repair blocked automatically.</t>
  </si>
  <si>
    <t>Start with one system disabled.</t>
  </si>
  <si>
    <t>Chapter 7: repair-prevention phase.</t>
  </si>
  <si>
    <t>Pairs naturally with Spider-Slayer.</t>
  </si>
  <si>
    <t>Blackbeard Robot</t>
  </si>
  <si>
    <t>The Night of the Villains</t>
  </si>
  <si>
    <t>Add placeholder; robot/history pirate mini-mode</t>
  </si>
  <si>
    <t>blackbeard_robot</t>
  </si>
  <si>
    <t>Pirate plunder</t>
  </si>
  <si>
    <t>Robot pirate steals jackpot value; hit lit plunder shots to take it back.</t>
  </si>
  <si>
    <t>Saucers, left drops, spinner</t>
  </si>
  <si>
    <t>Recover plunder and cash chest jackpot.</t>
  </si>
  <si>
    <t>Steal rate increases; chest moves.</t>
  </si>
  <si>
    <t>+1 extra chest jackpot.</t>
  </si>
  <si>
    <t>+25% chest value.</t>
  </si>
  <si>
    <t>+5s before plunder steal.</t>
  </si>
  <si>
    <t>One stolen value restore after drain.</t>
  </si>
  <si>
    <t>Spot one chest shot.</t>
  </si>
  <si>
    <t>Chapter 7: historical robot phase.</t>
  </si>
  <si>
    <t>Variant of moving saucer jackpot.</t>
  </si>
  <si>
    <t>Executioner of Paris Robot</t>
  </si>
  <si>
    <t>Add placeholder; robot/history executioner mode</t>
  </si>
  <si>
    <t>executioner_of_paris_robot</t>
  </si>
  <si>
    <t>Countdown execution</t>
  </si>
  <si>
    <t>A countdown threatens jackpot value; hit rescue shots to delay and cash.</t>
  </si>
  <si>
    <t>Right bank, saucers, web target</t>
  </si>
  <si>
    <t>Stop countdown and collect rescue jackpot.</t>
  </si>
  <si>
    <t>Countdown shorter each round.</t>
  </si>
  <si>
    <t>+25% rescue jackpot.</t>
  </si>
  <si>
    <t>+5s countdown.</t>
  </si>
  <si>
    <t>One countdown expiration forgiven.</t>
  </si>
  <si>
    <t>Start with rescue shot lit.</t>
  </si>
  <si>
    <t>Chapter 7: countdown robot phase.</t>
  </si>
  <si>
    <t>Simple hurry-up reskin.</t>
  </si>
  <si>
    <t>Jesse James Robot</t>
  </si>
  <si>
    <t>Add placeholder; robot/history outlaw mode</t>
  </si>
  <si>
    <t>jesse_james_robot</t>
  </si>
  <si>
    <t>Quickdraw</t>
  </si>
  <si>
    <t>Lit target appears briefly; hit before it moves to win quickdraw jackpots.</t>
  </si>
  <si>
    <t>Right bank, upper targets, web targets</t>
  </si>
  <si>
    <t>Win 3 quickdraws.</t>
  </si>
  <si>
    <t>Windows shrink; decoy shot appears.</t>
  </si>
  <si>
    <t>+1 extra quickdraw jackpot.</t>
  </si>
  <si>
    <t>+25% quickdraw value.</t>
  </si>
  <si>
    <t>+5s/longer draw window.</t>
  </si>
  <si>
    <t>One lost draw ignored.</t>
  </si>
  <si>
    <t>First draw appears longer.</t>
  </si>
  <si>
    <t>Chapter 7: quickdraw robot phase.</t>
  </si>
  <si>
    <t>Reuse Sandman/Fiddler moving timing.</t>
  </si>
  <si>
    <t>8 - Frozen / Monster Oddities</t>
  </si>
  <si>
    <t>Snowman / The Snowmen</t>
  </si>
  <si>
    <t>Trouble with Snow</t>
  </si>
  <si>
    <t>Confirmed; merged slot</t>
  </si>
  <si>
    <t>Add placeholder; freeze/outlane danger/timer mode</t>
  </si>
  <si>
    <t>snowman_the_snowmen</t>
  </si>
  <si>
    <t>https://spiderfan.org/review/shows/spiderman_tv_1960s/s03e02.html</t>
  </si>
  <si>
    <t>Freeze / thaw</t>
  </si>
  <si>
    <t>Snowmen freeze shots; thaw with spinner/upper shots before collecting jackpot.</t>
  </si>
  <si>
    <t>Spinner, upper targets, drops</t>
  </si>
  <si>
    <t>Thaw enough shots and cash snow jackpot.</t>
  </si>
  <si>
    <t>Freeze spreads faster; thaw value decays.</t>
  </si>
  <si>
    <t>+1 extra snow jackpot.</t>
  </si>
  <si>
    <t>One outlane/drain save if frozen.</t>
  </si>
  <si>
    <t>Start with one thaw shot spotted.</t>
  </si>
  <si>
    <t>Chapter 8: freeze hazard phase.</t>
  </si>
  <si>
    <t>Reuse Doctor Cool, but more dangerous/outlane-themed.</t>
  </si>
  <si>
    <t>Metal-Eating Monster</t>
  </si>
  <si>
    <t>Diet of Destruction</t>
  </si>
  <si>
    <t>Add placeholder; destruction/drop-target damage mode</t>
  </si>
  <si>
    <t>metal_eating_monster</t>
  </si>
  <si>
    <t>Destruction / repair</t>
  </si>
  <si>
    <t>Monster eats metal targets; hit repair shots or lose scoring areas temporarily.</t>
  </si>
  <si>
    <t>Drop banks, spinner, VUK</t>
  </si>
  <si>
    <t>Repair/capture monster for jackpot.</t>
  </si>
  <si>
    <t>More targets disabled; repair window shorter.</t>
  </si>
  <si>
    <t>+1 extra capture jackpot.</t>
  </si>
  <si>
    <t>+25% capture value.</t>
  </si>
  <si>
    <t>+5s repair window.</t>
  </si>
  <si>
    <t>One disabled area restored after drain.</t>
  </si>
  <si>
    <t>Spot one repair shot.</t>
  </si>
  <si>
    <t>Chapter 8: area-damage phase.</t>
  </si>
  <si>
    <t>Can teach area-disable logic for wizard.</t>
  </si>
  <si>
    <t>Master Vine</t>
  </si>
  <si>
    <t>Vine</t>
  </si>
  <si>
    <t>Add placeholder; spreading vine/hold shots mode</t>
  </si>
  <si>
    <t>master_vine</t>
  </si>
  <si>
    <t>Spreading vines / hold shots</t>
  </si>
  <si>
    <t>Vines spread across shots; clear vine shots before they lock out too many areas.</t>
  </si>
  <si>
    <t>Upper targets, drops, web targets</t>
  </si>
  <si>
    <t>Clear vines and collect root jackpot.</t>
  </si>
  <si>
    <t>Vines spread faster; more clears required.</t>
  </si>
  <si>
    <t>+1 extra root jackpot.</t>
  </si>
  <si>
    <t>+25% root jackpot.</t>
  </si>
  <si>
    <t>+5s before vine spread.</t>
  </si>
  <si>
    <t>One vine overgrowth prevented.</t>
  </si>
  <si>
    <t>Clear one vine automatically.</t>
  </si>
  <si>
    <t>Chapter 8: spreading hazard phase.</t>
  </si>
  <si>
    <t>Pod can be a phase here.</t>
  </si>
  <si>
    <t>Blotto</t>
  </si>
  <si>
    <t>Add placeholder; cover/paint/blob-style mode</t>
  </si>
  <si>
    <t>blotto</t>
  </si>
  <si>
    <t>Cover / reveal</t>
  </si>
  <si>
    <t>Blotto covers shots with ink; hit reveal shots to uncover jackpot.</t>
  </si>
  <si>
    <t>Pops, spinner, targets</t>
  </si>
  <si>
    <t>Reveal and collect Blotto jackpot.</t>
  </si>
  <si>
    <t>More shots covered; reveal expires faster.</t>
  </si>
  <si>
    <t>+1 extra reveal jackpot.</t>
  </si>
  <si>
    <t>+25% revealed jackpot.</t>
  </si>
  <si>
    <t>+5s reveal duration.</t>
  </si>
  <si>
    <t>One covered-shot penalty ignored.</t>
  </si>
  <si>
    <t>Reveal one shot at start.</t>
  </si>
  <si>
    <t>Chapter 8: cover/reveal phase.</t>
  </si>
  <si>
    <t>Reuse Phantom/Noah reveal mechanics.</t>
  </si>
  <si>
    <t>Pod</t>
  </si>
  <si>
    <t>Rolling pods / Vine remake connection - verify exact character status</t>
  </si>
  <si>
    <t>Needs verification</t>
  </si>
  <si>
    <t>Possible placeholder; may be better as a Master Vine phase</t>
  </si>
  <si>
    <t>pod</t>
  </si>
  <si>
    <t>Compact / phase</t>
  </si>
  <si>
    <t>Rolling pod hazard</t>
  </si>
  <si>
    <t>Pods roll between upper targets; hit active pod to stop spread and light saucer.</t>
  </si>
  <si>
    <t>Stop pods and collect pod saucer.</t>
  </si>
  <si>
    <t>Pods roll faster; extra pod appears.</t>
  </si>
  <si>
    <t>+1 extra pod saucer jackpot.</t>
  </si>
  <si>
    <t>+25% pod jackpot.</t>
  </si>
  <si>
    <t>+5s pod timer.</t>
  </si>
  <si>
    <t>One pod spread blocked.</t>
  </si>
  <si>
    <t>Start with center pod spotted.</t>
  </si>
  <si>
    <t>Chapter 8: optional Master Vine phase.</t>
  </si>
  <si>
    <t>Low / maybe phase</t>
  </si>
  <si>
    <t>Could be folded into Master Vine instead of full mode.</t>
  </si>
  <si>
    <t>9 - Crime &amp; Disguise</t>
  </si>
  <si>
    <t>Noah Boddy</t>
  </si>
  <si>
    <t>Spider-Man Meets Doctor Noah Boddy</t>
  </si>
  <si>
    <t>Add placeholder; invisibility/vanish mode</t>
  </si>
  <si>
    <t>noah_boddy</t>
  </si>
  <si>
    <t>Invisible target / clues</t>
  </si>
  <si>
    <t>Noah vanishes; spinner/targets reveal silhouette; hit true location for jackpot.</t>
  </si>
  <si>
    <t>Reveal invisible villain and cash.</t>
  </si>
  <si>
    <t>Reveal time shrinks; decoys increase.</t>
  </si>
  <si>
    <t>+1 extra invisibility jackpot.</t>
  </si>
  <si>
    <t>+25% reveal jackpot.</t>
  </si>
  <si>
    <t>One invisible miss forgiven.</t>
  </si>
  <si>
    <t>Reveal true shot once.</t>
  </si>
  <si>
    <t>Chapter 9: invisible/disguise phase.</t>
  </si>
  <si>
    <t>Reuse Mysterio/Fifth Avenue Phantom skeleton.</t>
  </si>
  <si>
    <t>Fiddler</t>
  </si>
  <si>
    <t>Fiddler on the Loose</t>
  </si>
  <si>
    <t>Add placeholder; sonic/rhythm shot mode</t>
  </si>
  <si>
    <t>fiddler</t>
  </si>
  <si>
    <t>Rhythm / moving target</t>
  </si>
  <si>
    <t>Fiddler plays rhythm; hit shots in beat/order to build and collect sonic jackpot.</t>
  </si>
  <si>
    <t>Right bank, spinner, pops</t>
  </si>
  <si>
    <t>Complete rhythm phrase.</t>
  </si>
  <si>
    <t>Beat window shrinks; phrase length grows.</t>
  </si>
  <si>
    <t>+1 extra sonic jackpot.</t>
  </si>
  <si>
    <t>+25% sonic jackpot.</t>
  </si>
  <si>
    <t>+5s rhythm phrase.</t>
  </si>
  <si>
    <t>One missed beat forgiven.</t>
  </si>
  <si>
    <t>Show next beat longer.</t>
  </si>
  <si>
    <t>Chapter 9: rhythm phase.</t>
  </si>
  <si>
    <t>Reuse Sandman timing but audio-led.</t>
  </si>
  <si>
    <t>Fly Twins</t>
  </si>
  <si>
    <t>The Spider and the Fly</t>
  </si>
  <si>
    <t>Add placeholder; paired-shot/double jackpot mode</t>
  </si>
  <si>
    <t>fly_twins</t>
  </si>
  <si>
    <t>Paired shots / double jackpot</t>
  </si>
  <si>
    <t>Two fly shots are lit; hit both within window for double jackpot.</t>
  </si>
  <si>
    <t>Opposite-side shots, upper/lower pair</t>
  </si>
  <si>
    <t>Complete pairs and collect twin jackpot.</t>
  </si>
  <si>
    <t>Pair window shortens; pairs move after hit.</t>
  </si>
  <si>
    <t>+1 extra twin jackpot.</t>
  </si>
  <si>
    <t>+25% paired jackpot.</t>
  </si>
  <si>
    <t>+5s pair window.</t>
  </si>
  <si>
    <t>One missed pair half preserved.</t>
  </si>
  <si>
    <t>Spot second twin location.</t>
  </si>
  <si>
    <t>Chapter 9: paired-shot phase.</t>
  </si>
  <si>
    <t>Good use of mirrored shots.</t>
  </si>
  <si>
    <t>Charles Cameo</t>
  </si>
  <si>
    <t>Double Identity</t>
  </si>
  <si>
    <t>Add placeholder; disguise/copycat mode</t>
  </si>
  <si>
    <t>charles_cameo</t>
  </si>
  <si>
    <t>Disguise / copycat</t>
  </si>
  <si>
    <t>Cameo copies another villain’s shot pattern; identify and shoot the fake.</t>
  </si>
  <si>
    <t>Rotating shot groups</t>
  </si>
  <si>
    <t>Expose disguise and collect copycat jackpot.</t>
  </si>
  <si>
    <t>More fake patterns; less preview.</t>
  </si>
  <si>
    <t>+1 extra expose jackpot.</t>
  </si>
  <si>
    <t>+25% copycat jackpot.</t>
  </si>
  <si>
    <t>+5s disguise preview.</t>
  </si>
  <si>
    <t>One wrong expose ignored.</t>
  </si>
  <si>
    <t>Reveal copied villain clue.</t>
  </si>
  <si>
    <t>Chapter 9: copycat phase.</t>
  </si>
  <si>
    <t>Can reuse existing villain templates directly.</t>
  </si>
  <si>
    <t>Plotter</t>
  </si>
  <si>
    <t>Add placeholder; planning/shot sequence mode</t>
  </si>
  <si>
    <t>plotter</t>
  </si>
  <si>
    <t>Planned sequence</t>
  </si>
  <si>
    <t>Plotter lays out a 3-shot plan; follow it exactly to collect blueprint jackpot.</t>
  </si>
  <si>
    <t>Drops, targets, saucers</t>
  </si>
  <si>
    <t>Complete plotted sequence.</t>
  </si>
  <si>
    <t>Sequence length grows; wrong shot resets step.</t>
  </si>
  <si>
    <t>+1 extra blueprint jackpot.</t>
  </si>
  <si>
    <t>+25% blueprint value.</t>
  </si>
  <si>
    <t>+5s plan timer.</t>
  </si>
  <si>
    <t>One wrong step ignored.</t>
  </si>
  <si>
    <t>Show next planned shot longer.</t>
  </si>
  <si>
    <t>Chapter 9: sequence-planning phase.</t>
  </si>
  <si>
    <t>Works well as compact late-mode.</t>
  </si>
  <si>
    <t>10 - Time / History / Outlaws</t>
  </si>
  <si>
    <t>Juan Ponce de León</t>
  </si>
  <si>
    <t>Fountain of Terror</t>
  </si>
  <si>
    <t>Add placeholder; timer reset/fountain mode</t>
  </si>
  <si>
    <t>juan_ponce_de_leon</t>
  </si>
  <si>
    <t>Fountain / timer reset</t>
  </si>
  <si>
    <t>Value drains until fountain shot is hit; fountain resets timer and raises jackpot.</t>
  </si>
  <si>
    <t>VUK, saucers, star</t>
  </si>
  <si>
    <t>Find fountain and cash youth jackpot.</t>
  </si>
  <si>
    <t>Timer drains faster; fountain relocates.</t>
  </si>
  <si>
    <t>+1 extra fountain jackpot.</t>
  </si>
  <si>
    <t>+25% youth jackpot.</t>
  </si>
  <si>
    <t>+5s drain timer.</t>
  </si>
  <si>
    <t>One timeout resets to grace value.</t>
  </si>
  <si>
    <t>Start with fountain location hinted.</t>
  </si>
  <si>
    <t>Chapter 10: reset-timer phase.</t>
  </si>
  <si>
    <t>Reuse delivery/timer-reset idea.</t>
  </si>
  <si>
    <t>DeVargas</t>
  </si>
  <si>
    <t>Cloud City of Gold</t>
  </si>
  <si>
    <t>Add placeholder; explorer/gold/chase mode</t>
  </si>
  <si>
    <t>devargas</t>
  </si>
  <si>
    <t>Gold chase</t>
  </si>
  <si>
    <t>Gold value moves between shots; collect trails then cash city jackpot.</t>
  </si>
  <si>
    <t>Spinner, upper targets, saucers</t>
  </si>
  <si>
    <t>Find Cloud City gold and cash.</t>
  </si>
  <si>
    <t>Gold trail moves faster; wrong shot steals value.</t>
  </si>
  <si>
    <t>+1 extra gold jackpot.</t>
  </si>
  <si>
    <t>+25% city jackpot.</t>
  </si>
  <si>
    <t>+5s gold trail.</t>
  </si>
  <si>
    <t>One stolen gold restore.</t>
  </si>
  <si>
    <t>Spot first gold trail.</t>
  </si>
  <si>
    <t>Chapter 10: treasure chase phase.</t>
  </si>
  <si>
    <t>Simple moving-value mode.</t>
  </si>
  <si>
    <t>Koga</t>
  </si>
  <si>
    <t>Super Swami</t>
  </si>
  <si>
    <t>Add placeholder; illusion/limited-flip candidate if Blackwell doesn't get it</t>
  </si>
  <si>
    <t>koga</t>
  </si>
  <si>
    <t>https://spiderfan.org/review/shows/spiderman_tv_1960s/s03e05.html</t>
  </si>
  <si>
    <t>Limited flips / mind control</t>
  </si>
  <si>
    <t>Start with limited flips; correct mind-control shots restore flips; wrong flips are costly.</t>
  </si>
  <si>
    <t>Web targets, spinner, upper targets</t>
  </si>
  <si>
    <t>Break trance before flips run out.</t>
  </si>
  <si>
    <t>Flip rewards shrink; decoys increase.</t>
  </si>
  <si>
    <t>+1 extra trance jackpot.</t>
  </si>
  <si>
    <t>+25% mind-control jackpot.</t>
  </si>
  <si>
    <t>+5 flips at start or mid-mode.</t>
  </si>
  <si>
    <t>Zero-flip grace/save once.</t>
  </si>
  <si>
    <t>Chapter 10: limited-flip mind-control.</t>
  </si>
  <si>
    <t>Use limited-flips here if Blackwell gets stage trick variant.</t>
  </si>
  <si>
    <t>Cowboy</t>
  </si>
  <si>
    <t>Add placeholder; quickdraw/outlaw shot mode</t>
  </si>
  <si>
    <t>cowboy</t>
  </si>
  <si>
    <t>Quickdraw / single target</t>
  </si>
  <si>
    <t>One target lights for a short quickdraw; hit it to build showdown jackpot.</t>
  </si>
  <si>
    <t>Right bank, web target, upper target</t>
  </si>
  <si>
    <t>Win quickdraws and collect showdown.</t>
  </si>
  <si>
    <t>Draw window shrinks; decoys appear.</t>
  </si>
  <si>
    <t>+1 extra showdown jackpot.</t>
  </si>
  <si>
    <t>+25% showdown value.</t>
  </si>
  <si>
    <t>First draw slower.</t>
  </si>
  <si>
    <t>Chapter 10: quickdraw phase.</t>
  </si>
  <si>
    <t>Reuse Jesse James Robot with human outlaw flavor.</t>
  </si>
  <si>
    <t>Desperado</t>
  </si>
  <si>
    <t>Spiderman vs. Desperado</t>
  </si>
  <si>
    <t>Add placeholder; western/outlaw mode</t>
  </si>
  <si>
    <t>desperado</t>
  </si>
  <si>
    <t>Outlaw chase / bounty</t>
  </si>
  <si>
    <t>Chase moves around playfield; collect bounties then final saucer showdown.</t>
  </si>
  <si>
    <t>Spinner, drops, saucers</t>
  </si>
  <si>
    <t>Collect bounties and win showdown.</t>
  </si>
  <si>
    <t>Bounty shots move faster; final window shorter.</t>
  </si>
  <si>
    <t>+1 extra bounty jackpot.</t>
  </si>
  <si>
    <t>+25% final bounty.</t>
  </si>
  <si>
    <t>+5s chase timer.</t>
  </si>
  <si>
    <t>One failed showdown repeats.</t>
  </si>
  <si>
    <t>Spot one bounty.</t>
  </si>
  <si>
    <t>Chapter 10: final outlaw chase.</t>
  </si>
  <si>
    <t>Good capstone villain before chapter mini-wizard.</t>
  </si>
  <si>
    <t>Backup</t>
  </si>
  <si>
    <t>Pardo's Creature / Giant Cat</t>
  </si>
  <si>
    <t>Theme/creature backup</t>
  </si>
  <si>
    <t>Use as phase inside Pardo instead of full slot</t>
  </si>
  <si>
    <t>pardo_creature</t>
  </si>
  <si>
    <t>Backup / phase</t>
  </si>
  <si>
    <t>Creature chase</t>
  </si>
  <si>
    <t>Creature appears as final Pardo act; hit pops then saucer to calm it.</t>
  </si>
  <si>
    <t>Pops, saucer</t>
  </si>
  <si>
    <t>Calm creature for bonus jackpot.</t>
  </si>
  <si>
    <t>More pop hits required.</t>
  </si>
  <si>
    <t>+1 extra creature jackpot.</t>
  </si>
  <si>
    <t>+25% creature bonus.</t>
  </si>
  <si>
    <t>+5s creature timer.</t>
  </si>
  <si>
    <t>One creature escape blocked.</t>
  </si>
  <si>
    <t>Start with pops boosted.</t>
  </si>
  <si>
    <t>Backup phase for Pardo.</t>
  </si>
  <si>
    <t>Use inside Pardo instead of full villain.</t>
  </si>
  <si>
    <t>South Pole Natives</t>
  </si>
  <si>
    <t>Down to Earth / South Pole-style story - verify</t>
  </si>
  <si>
    <t>Weak villain; theme backup</t>
  </si>
  <si>
    <t>Use as setting/theme, not main villain, unless a slot is needed</t>
  </si>
  <si>
    <t>south_pole_natives</t>
  </si>
  <si>
    <t>Backup / theme</t>
  </si>
  <si>
    <t>Environment hazard</t>
  </si>
  <si>
    <t>Use as background hazard: cold wind moves shots and narrows timers.</t>
  </si>
  <si>
    <t>Spinner, upper targets</t>
  </si>
  <si>
    <t>Survive environment and cash.</t>
  </si>
  <si>
    <t>Hazard speeds up.</t>
  </si>
  <si>
    <t>+1 extra hazard jackpot.</t>
  </si>
  <si>
    <t>+25% survival bonus.</t>
  </si>
  <si>
    <t>+5s hazard timer.</t>
  </si>
  <si>
    <t>One hazard penalty ignored.</t>
  </si>
  <si>
    <t>Start with hazard slowed.</t>
  </si>
  <si>
    <t>Backup setting/theme.</t>
  </si>
  <si>
    <t>Weak as villain; better as chapter seasoning.</t>
  </si>
  <si>
    <t>Bolton</t>
  </si>
  <si>
    <t>Thunder Rumble</t>
  </si>
  <si>
    <t>Possible backup once exact role is verified</t>
  </si>
  <si>
    <t>bolton</t>
  </si>
  <si>
    <t>Thunder charge</t>
  </si>
  <si>
    <t>Build thunder at spinner, then strike lit targets for jackpots.</t>
  </si>
  <si>
    <t>Spinner, targets</t>
  </si>
  <si>
    <t>Charge and strike.</t>
  </si>
  <si>
    <t>Charge decays faster.</t>
  </si>
  <si>
    <t>+1 extra thunder jackpot.</t>
  </si>
  <si>
    <t>+25% strike value.</t>
  </si>
  <si>
    <t>One failed strike saved.</t>
  </si>
  <si>
    <t>Start with partial charge.</t>
  </si>
  <si>
    <t>Backup storm mode.</t>
  </si>
  <si>
    <t>Backup / verify</t>
  </si>
  <si>
    <t>Verify role before promoting.</t>
  </si>
  <si>
    <t>Boomer</t>
  </si>
  <si>
    <t>Thunder Rumble or related - verify</t>
  </si>
  <si>
    <t>Backup for explosive/chaos mode</t>
  </si>
  <si>
    <t>boomer</t>
  </si>
  <si>
    <t>Explosive chaos</t>
  </si>
  <si>
    <t>Bomb targets light briefly; disarm them for value and final jackpot.</t>
  </si>
  <si>
    <t>Targets, drops, saucers</t>
  </si>
  <si>
    <t>Disarm bombs.</t>
  </si>
  <si>
    <t>Timers shrink; more bombs at once.</t>
  </si>
  <si>
    <t>+1 extra disarm jackpot.</t>
  </si>
  <si>
    <t>+25% bomb jackpot.</t>
  </si>
  <si>
    <t>+5s bomb timer.</t>
  </si>
  <si>
    <t>One bomb detonation ignored.</t>
  </si>
  <si>
    <t>Reveal one bomb.</t>
  </si>
  <si>
    <t>Backup chaos mode.</t>
  </si>
  <si>
    <t>Potential compact mode.</t>
  </si>
  <si>
    <t>Professor Pretoris</t>
  </si>
  <si>
    <t>The Birth of Micro Man</t>
  </si>
  <si>
    <t>Backup science/micro-man mode</t>
  </si>
  <si>
    <t>professor_pretoris</t>
  </si>
  <si>
    <t>Micro shrink / tiny shots</t>
  </si>
  <si>
    <t>Shots become tiny/precise; hit small target groups to restore size and cash.</t>
  </si>
  <si>
    <t>Upper targets, right bank</t>
  </si>
  <si>
    <t>Restore size and collect micro jackpot.</t>
  </si>
  <si>
    <t>More precise shots required.</t>
  </si>
  <si>
    <t>+1 extra micro jackpot.</t>
  </si>
  <si>
    <t>+25% micro value.</t>
  </si>
  <si>
    <t>+5s shrink timer.</t>
  </si>
  <si>
    <t>One shrink penalty blocked.</t>
  </si>
  <si>
    <t>Spot one tiny shot.</t>
  </si>
  <si>
    <t>Backup science mode.</t>
  </si>
  <si>
    <t>Good if more science slots needed.</t>
  </si>
  <si>
    <t>Doctor Atlantean</t>
  </si>
  <si>
    <t>Up from Nowhere</t>
  </si>
  <si>
    <t>Backup undersea/Atlantean mode</t>
  </si>
  <si>
    <t>doctor_atlantean</t>
  </si>
  <si>
    <t>Undersea pressure</t>
  </si>
  <si>
    <t>Pressure meter rises; hit vents to lower it and light Atlantean jackpot.</t>
  </si>
  <si>
    <t>Saucers, spinner, VUK</t>
  </si>
  <si>
    <t>Control pressure and cash.</t>
  </si>
  <si>
    <t>Pressure rises faster.</t>
  </si>
  <si>
    <t>+1 extra pressure jackpot.</t>
  </si>
  <si>
    <t>+25% Atlantean jackpot.</t>
  </si>
  <si>
    <t>+5s pressure grace.</t>
  </si>
  <si>
    <t>One pressure max-out saved.</t>
  </si>
  <si>
    <t>Start with one vent lit.</t>
  </si>
  <si>
    <t>Backup underwater mode.</t>
  </si>
  <si>
    <t>Could merge with Doctor Manta.</t>
  </si>
  <si>
    <t>Dr. Von Schlick</t>
  </si>
  <si>
    <t>The Slippery Doctor Von Schlick</t>
  </si>
  <si>
    <t>Backup oil/sewer/slippery mode</t>
  </si>
  <si>
    <t>dr_von_schlick</t>
  </si>
  <si>
    <t>Slippery oil</t>
  </si>
  <si>
    <t>Oil slick slides lit shot around; hit correct slick target before it moves.</t>
  </si>
  <si>
    <t>Targets, spinner, drops</t>
  </si>
  <si>
    <t>Contain oil and collect slick jackpot.</t>
  </si>
  <si>
    <t>Shot slides faster.</t>
  </si>
  <si>
    <t>+1 extra slick jackpot.</t>
  </si>
  <si>
    <t>+25% slick value.</t>
  </si>
  <si>
    <t>+5s oil timer.</t>
  </si>
  <si>
    <t>One slip penalty ignored.</t>
  </si>
  <si>
    <t>Slow first slick.</t>
  </si>
  <si>
    <t>Backup trap mode.</t>
  </si>
  <si>
    <t>Reusable moving lit shot.</t>
  </si>
  <si>
    <t>Miss Trubble</t>
  </si>
  <si>
    <t>Here Comes Trubble</t>
  </si>
  <si>
    <t>Backup chaos/trouble mode</t>
  </si>
  <si>
    <t>miss_trubble</t>
  </si>
  <si>
    <t>Trouble stack</t>
  </si>
  <si>
    <t>Trouble meter adds random mini-hazards; clear them to cash jackpot.</t>
  </si>
  <si>
    <t>Any flashing hazards</t>
  </si>
  <si>
    <t>Clear trouble stack.</t>
  </si>
  <si>
    <t>More hazards stack at once.</t>
  </si>
  <si>
    <t>+1 extra trouble jackpot.</t>
  </si>
  <si>
    <t>+25% trouble jackpot.</t>
  </si>
  <si>
    <t>One hazard auto-cleared.</t>
  </si>
  <si>
    <t>Start with one hazard cleared.</t>
  </si>
  <si>
    <t>Could be fun as mystery award mode.</t>
  </si>
  <si>
    <t>Scarf</t>
  </si>
  <si>
    <t>The Scourge of the Scarf</t>
  </si>
  <si>
    <t>Backup trap/grab mode</t>
  </si>
  <si>
    <t>scarf</t>
  </si>
  <si>
    <t>Trap / grab</t>
  </si>
  <si>
    <t>Scarf grabs a shot group; hit release shots to free it and collect trap jackpot.</t>
  </si>
  <si>
    <t>Web targets, drops</t>
  </si>
  <si>
    <t>Free trapped area.</t>
  </si>
  <si>
    <t>More groups trapped; release window shorter.</t>
  </si>
  <si>
    <t>+25% trap value.</t>
  </si>
  <si>
    <t>+5s release timer.</t>
  </si>
  <si>
    <t>One trapped area freed after drain.</t>
  </si>
  <si>
    <t>Spot one release shot.</t>
  </si>
  <si>
    <t>Compact mode or hazard.</t>
  </si>
  <si>
    <t>Sky Master</t>
  </si>
  <si>
    <t>Sky Harbor / Spider-Man Meets Skyboy</t>
  </si>
  <si>
    <t>Backup upper-playfield/sky mode</t>
  </si>
  <si>
    <t>sky_master</t>
  </si>
  <si>
    <t>Sky / upper playfield</t>
  </si>
  <si>
    <t>Upper playfield chase; hit sky targets and exits to build aerial jackpot.</t>
  </si>
  <si>
    <t>Upper targets, spinner, exits</t>
  </si>
  <si>
    <t>Complete aerial chase.</t>
  </si>
  <si>
    <t>Targets cycle faster; exit choice matters.</t>
  </si>
  <si>
    <t>+1 extra sky jackpot.</t>
  </si>
  <si>
    <t>+25% aerial value.</t>
  </si>
  <si>
    <t>+5s upper timer.</t>
  </si>
  <si>
    <t>Upper-drain save once.</t>
  </si>
  <si>
    <t>Start with sky route hinted.</t>
  </si>
  <si>
    <t>Backup upper-playfield mode.</t>
  </si>
  <si>
    <t>Reuse Vulture skeleton.</t>
  </si>
  <si>
    <t>Spider-Man 1967 50-Villain / 10-Chapter Planning Summary</t>
  </si>
  <si>
    <t>Primary villain slots</t>
  </si>
  <si>
    <t>Backup slots</t>
  </si>
  <si>
    <t>Current codebase inspected</t>
  </si>
  <si>
    <t>ASM67_2026-06-08.zip</t>
  </si>
  <si>
    <t>In-code villain modes</t>
  </si>
  <si>
    <t>In-code mini-wizards</t>
  </si>
  <si>
    <t>Final wizard</t>
  </si>
  <si>
    <t>Kingpin</t>
  </si>
  <si>
    <t>Notes</t>
  </si>
  <si>
    <t>Several later-season/one-off entries are marked Likely or Needs verification before becoming full code modes.</t>
  </si>
  <si>
    <t>Design expansion update</t>
  </si>
  <si>
    <t>Added mode-design, case-file helper, mini-wizard, and template planning columns/sheets.</t>
  </si>
  <si>
    <t>Current working upload</t>
  </si>
  <si>
    <t>ASM67_2026_06_10.zip / spreadsheet updated 2026-06-10</t>
  </si>
  <si>
    <t>Design stance</t>
  </si>
  <si>
    <t>First 10 villains are locked/polish; flesh out remaining 40 using reusable mechanics.</t>
  </si>
  <si>
    <t>Case-file helpers</t>
  </si>
  <si>
    <t>Per-mode helper ideas are in columns P:T on 50 Villain Plan.</t>
  </si>
  <si>
    <t>Source</t>
  </si>
  <si>
    <t>URL</t>
  </si>
  <si>
    <t>Use</t>
  </si>
  <si>
    <t>epguides Spider-Man 1967 episode guide</t>
  </si>
  <si>
    <t>Episode titles and dates</t>
  </si>
  <si>
    <t>Wikipedia episode list</t>
  </si>
  <si>
    <t>Episode summaries / character appearances for many Season 1/3 stories</t>
  </si>
  <si>
    <t>Marvel Animated villain category</t>
  </si>
  <si>
    <t>Candidate villain names / 1967 category membership</t>
  </si>
  <si>
    <t>World's Finest - Fantastic Fakir</t>
  </si>
  <si>
    <t>Noah Boddy / Fakir episode support</t>
  </si>
  <si>
    <t>World's Finest - Pardo Presents</t>
  </si>
  <si>
    <t>Pardo episode support</t>
  </si>
  <si>
    <t>SpiderFan - Trouble with Snow</t>
  </si>
  <si>
    <t>Snowman/Snow episode support</t>
  </si>
  <si>
    <t>SpiderFan - Super Swami</t>
  </si>
  <si>
    <t>Koga episode support</t>
  </si>
  <si>
    <t>Marvel Animated - Doctor Cool</t>
  </si>
  <si>
    <t>Doctor Cool / Cold Storage support</t>
  </si>
  <si>
    <t>Mini-Wizard Name</t>
  </si>
  <si>
    <t>Theme</t>
  </si>
  <si>
    <t>Uses Villain Mechanics</t>
  </si>
  <si>
    <t>Core Rules Sketch</t>
  </si>
  <si>
    <t>Win Condition</t>
  </si>
  <si>
    <t>Case File Helper Interaction</t>
  </si>
  <si>
    <t>Daily Bugle Rooftop Riot</t>
  </si>
  <si>
    <t>Classic rogues collide on the rooftops.</t>
  </si>
  <si>
    <t>Rhino pop/rage, Vulture upper, Lizard delivery, Sandman moving target, Electro spark</t>
  </si>
  <si>
    <t>Timed 2-ball or single-ball challenge: complete one objective from each classic villain, then cash Daily Bugle jackpot.</t>
  </si>
  <si>
    <t>Pops, upper targets/spinner, star, right bank, web targets</t>
  </si>
  <si>
    <t>Complete 3 of 5 objectives for minor win; all 5 for major win.</t>
  </si>
  <si>
    <t>All collected helpers appear as one-time boosts; More Time adds wizard timer, Safety Net gives opening save.</t>
  </si>
  <si>
    <t>Mastermind Trap</t>
  </si>
  <si>
    <t>The masterminds turn the city into a trap.</t>
  </si>
  <si>
    <t>Doc Ock locks, Mysterio clues, Goblin chaos, Scorpion sequence, Parafino heat</t>
  </si>
  <si>
    <t>Rotate through five villain traps. Completing a trap locks in a letter/area; final jackpot at saucer/VUK.</t>
  </si>
  <si>
    <t>Rollovers, clue shots, chaos shots, spinner/exits, area heat shots</t>
  </si>
  <si>
    <t>Clear 3 traps then cash; all 5 lights super.</t>
  </si>
  <si>
    <t>More Jackpots adds extra final trap jackpot; Wildcard reveals the first trap solution.</t>
  </si>
  <si>
    <t>Monster Island Breakout</t>
  </si>
  <si>
    <t>The monsters escape together.</t>
  </si>
  <si>
    <t>Centaur charge, Cerberus saucers, Cyclops timing, Reptilla pops, Mole Man hidden tunnel</t>
  </si>
  <si>
    <t>Survive monster attacks by completing short monster tasks. Each complete task reduces Monster Meter.</t>
  </si>
  <si>
    <t>Upper targets, saucers, pops, spinner, VUK</t>
  </si>
  <si>
    <t>Reduce Monster Meter to zero.</t>
  </si>
  <si>
    <t>Safety Net blocks one monster attack; Bigger Jackpots increases final island jackpot.</t>
  </si>
  <si>
    <t>Crime Wave Crackdown</t>
  </si>
  <si>
    <t>The Bugle exposes a citywide crime plan.</t>
  </si>
  <si>
    <t>Enforcers crew, Ox bank bash, Phantom reveal, Foswell leads, Blackwell limited flips</t>
  </si>
  <si>
    <t>Collect leads, reveal criminals, and spend limited flips carefully to finish the crackdown.</t>
  </si>
  <si>
    <t>Drops, targets, saucers, web targets</t>
  </si>
  <si>
    <t>Solve 5 case steps before flips/timer runs out.</t>
  </si>
  <si>
    <t>More Time adds flips; Wildcard spots a lead; Safety Net gives zero-flip grace.</t>
  </si>
  <si>
    <t>Mad Science Meltdown</t>
  </si>
  <si>
    <t>Science villains overload the city.</t>
  </si>
  <si>
    <t>Magneto beam, Manta trap, Dumpty fragile sequence, Cool freeze, Zapp chain</t>
  </si>
  <si>
    <t>Control 3 science meters: power, pressure, freeze. Cash meltdown jackpot before meters max out.</t>
  </si>
  <si>
    <t>Spinner, saucers, VUK, drops, upper targets</t>
  </si>
  <si>
    <t>Stabilize all meters, then cash jackpot.</t>
  </si>
  <si>
    <t>Safety Net prevents one meter max-out; More Time slows all meters briefly.</t>
  </si>
  <si>
    <t>Fifth Dimension Curse</t>
  </si>
  <si>
    <t>Magic, mind control, and dimensions overlap.</t>
  </si>
  <si>
    <t>Fakir rhythm, Kotep relics, Infinata loop, Pardo acts, Vulcan heat</t>
  </si>
  <si>
    <t>Complete mystic acts to collect relics. Relics unlock final dimension escape jackpot.</t>
  </si>
  <si>
    <t>Spinner, pops, saucers, upper loop/targets</t>
  </si>
  <si>
    <t>Collect 3 relics and escape; all 5 for super.</t>
  </si>
  <si>
    <t>Wildcard reveals the next relic/act; Bigger Jackpots boosts relic value.</t>
  </si>
  <si>
    <t>Night of the Robots</t>
  </si>
  <si>
    <t>Robots from history attack the city.</t>
  </si>
  <si>
    <t>Spider-Slayer priority, Smythe repair, Blackbeard plunder, Executioner countdown, Jesse quickdraw</t>
  </si>
  <si>
    <t>Disable robot systems while historical robots create timed hazards.</t>
  </si>
  <si>
    <t>Drops, web targets, right bank, saucers, upper targets</t>
  </si>
  <si>
    <t>Disable all systems or survive and cash robot core.</t>
  </si>
  <si>
    <t>More Jackpots adds extra core jackpot; Safety Net blocks one robot attack.</t>
  </si>
  <si>
    <t>Nature Strikes Back</t>
  </si>
  <si>
    <t>Snow, metal-eating, vines, ink, and pods overrun the table.</t>
  </si>
  <si>
    <t>Snowman freeze, Metal repair, Vine spread, Blotto reveal, Pod upper hazard</t>
  </si>
  <si>
    <t>Clear spreading hazards before they cover too many shots. Each cleared hazard lights city rescue jackpot.</t>
  </si>
  <si>
    <t>Spinner, upper targets, drops, pops, saucers</t>
  </si>
  <si>
    <t>Clear 4 hazards, then collect rescue jackpot.</t>
  </si>
  <si>
    <t>More Time slows spreading hazards; Wildcard clears one hazard.</t>
  </si>
  <si>
    <t>Who Is the Real Villain?</t>
  </si>
  <si>
    <t>Invisible criminals and impostors confuse Spider-Man.</t>
  </si>
  <si>
    <t>Noah invisibility, Fiddler rhythm, Fly pairs, Cameo copycat, Plotter sequence</t>
  </si>
  <si>
    <t>Reveal identity clues, then complete the correct shot pattern. Wrong patterns cost value but give hints.</t>
  </si>
  <si>
    <t>Spinner, paired shots, right bank, saucers</t>
  </si>
  <si>
    <t>Identify/cash the real villain jackpot.</t>
  </si>
  <si>
    <t>Wildcard gives identity clue; Bigger Jackpots increases final reveal.</t>
  </si>
  <si>
    <t>Time-Tossed Showdown</t>
  </si>
  <si>
    <t>Time travelers and outlaws make one final stand before Kingpin.</t>
  </si>
  <si>
    <t>Ponce timer reset, DeVargas gold, Koga limited flips, Cowboy quickdraw, Desperado chase</t>
  </si>
  <si>
    <t>Complete time/outlaw trials to light final showdown. Limited flips make choices matter.</t>
  </si>
  <si>
    <t>VUK, saucers, spinner, drops, upper targets</t>
  </si>
  <si>
    <t>Complete 3 trials for chapter win; all 5 for Kingpin advantage.</t>
  </si>
  <si>
    <t>More Time adds flips/timer; More Jackpots adds showdown cashout.</t>
  </si>
  <si>
    <t>Template</t>
  </si>
  <si>
    <t>Best For</t>
  </si>
  <si>
    <t>Basic Loop</t>
  </si>
  <si>
    <t>Scoring Hook</t>
  </si>
  <si>
    <t>Difficulty Knob</t>
  </si>
  <si>
    <t>Good Reuse Targets</t>
  </si>
  <si>
    <t>Limited flips</t>
  </si>
  <si>
    <t>Mind control, stage tricks, precision villains</t>
  </si>
  <si>
    <t>Start with finite flips; correct shots add flips; zero flips ends/graces.</t>
  </si>
  <si>
    <t>Jackpots for completing stages with flips remaining.</t>
  </si>
  <si>
    <t>Reduce flip awards; add decoys; shrink windows.</t>
  </si>
  <si>
    <t>Blackwell, Koga, Noah Boddy mini-phase</t>
  </si>
  <si>
    <t>Strong because player can cradle but every move matters.</t>
  </si>
  <si>
    <t>Fast villains, gunslingers, rhythm modes</t>
  </si>
  <si>
    <t>Lit shot moves across bank/targets; hit correct shot before it moves.</t>
  </si>
  <si>
    <t>Correct shot jackpot; perfect streak bonus.</t>
  </si>
  <si>
    <t>Move faster; add decoys; punish wrong target.</t>
  </si>
  <si>
    <t>Sandman, Fiddler, Cowboy, Jesse James Robot</t>
  </si>
  <si>
    <t>Easy to understand and reusable.</t>
  </si>
  <si>
    <t>Hidden correct shot</t>
  </si>
  <si>
    <t>Illusions, invisible/disguise villains</t>
  </si>
  <si>
    <t>Several shots lit; only one is true; clues narrow possibilities.</t>
  </si>
  <si>
    <t>True jackpot starts high and decays with wrong shots.</t>
  </si>
  <si>
    <t>More decoys; clues less direct.</t>
  </si>
  <si>
    <t>Mysterio, Noah Boddy, Phantom, Cameo</t>
  </si>
  <si>
    <t>Good for JJJ/Bugle clue callouts.</t>
  </si>
  <si>
    <t>Rescue, serum, fountain, underwater modes</t>
  </si>
  <si>
    <t>Collect item, then deliver to lit destination before value decays.</t>
  </si>
  <si>
    <t>Delivery jackpot based on time/value left.</t>
  </si>
  <si>
    <t>Faster decay; extra delivery steps.</t>
  </si>
  <si>
    <t>Lizard, Doctor Manta, Ponce de León</t>
  </si>
  <si>
    <t>Simple and satisfying.</t>
  </si>
  <si>
    <t>Area control</t>
  </si>
  <si>
    <t>Monster/science/city attack modes</t>
  </si>
  <si>
    <t>Several areas have meters; hits heat/thaw/repair/clear them.</t>
  </si>
  <si>
    <t>Area jackpot when a meter completes.</t>
  </si>
  <si>
    <t>Meters decay; hazards spread faster.</t>
  </si>
  <si>
    <t>Parafino, Reptilla, Master Vine, Metal-Eating Monster</t>
  </si>
  <si>
    <t>Builds toward wizard area-clear logic.</t>
  </si>
  <si>
    <t>Saucer trap / hold</t>
  </si>
  <si>
    <t>Mole Man, Manta, Goblin-like traps</t>
  </si>
  <si>
    <t>Saucer holds or hides value; player finds/escapes/cashes.</t>
  </si>
  <si>
    <t>Hidden saucer or held jackpot.</t>
  </si>
  <si>
    <t>Relocate faster; shorter hold windows.</t>
  </si>
  <si>
    <t>Mole Man, Doctor Manta, Blackbeard Robot</t>
  </si>
  <si>
    <t>Remember to delay ejects where coils need recovery.</t>
  </si>
  <si>
    <t>Robot priority</t>
  </si>
  <si>
    <t>Robot attack and repair modes</t>
  </si>
  <si>
    <t>Robot attacks a target group; player must hit priority shot before timer.</t>
  </si>
  <si>
    <t>System-disable jackpot.</t>
  </si>
  <si>
    <t>Shorter attack timer; more systems.</t>
  </si>
  <si>
    <t>Spider-Slayer, Smythe, historical robots</t>
  </si>
  <si>
    <t>Good shared skeleton for Chapter 7.</t>
  </si>
  <si>
    <t>Freeze/spread hazard</t>
  </si>
  <si>
    <t>Snow, vines, ink, curse, pressure</t>
  </si>
  <si>
    <t>Hazard spreads or freezes shots; player clears before table is overrun.</t>
  </si>
  <si>
    <t>Clear jackpot and rescue bonus.</t>
  </si>
  <si>
    <t>Spread faster; clear value decays.</t>
  </si>
  <si>
    <t>Doctor Cool, Snowman, Master Vine, Blotto</t>
  </si>
  <si>
    <t>Useful visual mode family.</t>
  </si>
  <si>
    <t>Paired shots</t>
  </si>
  <si>
    <t>Twins, dual villains, synchronized attacks</t>
  </si>
  <si>
    <t>Hit two linked shots within a window.</t>
  </si>
  <si>
    <t>Double jackpot for completed pair.</t>
  </si>
  <si>
    <t>Shorter pair window; moving pair.</t>
  </si>
  <si>
    <t>Fly Twins, Enforcers, chapter mini-wizards</t>
  </si>
  <si>
    <t>Creates satisfying left/right layout use.</t>
  </si>
  <si>
    <t>Sequence plan</t>
  </si>
  <si>
    <t>Crime planning, investigations, rituals</t>
  </si>
  <si>
    <t>Follow a planned shot order; wrong shot resets or reduces value.</t>
  </si>
  <si>
    <t>Blueprint/relic/lead jackpot.</t>
  </si>
  <si>
    <t>Longer sequence; shorter preview.</t>
  </si>
  <si>
    <t>Plotter, Foswell, Kotep, Dumpty</t>
  </si>
  <si>
    <t>Simple rules, lots of theme flexibility.</t>
  </si>
  <si>
    <t>ASM67 50-Villain Design Expansion</t>
  </si>
  <si>
    <t>Metric</t>
  </si>
  <si>
    <t>Value</t>
  </si>
  <si>
    <t>Priority</t>
  </si>
  <si>
    <t>Count</t>
  </si>
  <si>
    <t>Total villain/backup rows</t>
  </si>
  <si>
    <t>High-priority builds</t>
  </si>
  <si>
    <t>Locked/polish first 10</t>
  </si>
  <si>
    <t>Design Notes</t>
  </si>
  <si>
    <t>The first 10 villains are treated as locked/polish-only for now.</t>
  </si>
  <si>
    <t>The remaining 40 use reusable mechanics with theme changes instead of 40 fully unique systems.</t>
  </si>
  <si>
    <t>Case-file helper columns describe per-mode helper behavior: More Jackpots, Bigger Jackpots, More Time, Safety Net, and Wildcard.</t>
  </si>
  <si>
    <t>Mini-wizard rows combine each chapter’s five villain mechanics.</t>
  </si>
  <si>
    <t>Build priority highlights which later modes are most worth designing first.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</si>
</sst>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6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7C2D12"/>
      </patternFill>
    </fill>
    <fill>
      <patternFill patternType="solid">
        <fgColor rgb="FF1F4E79"/>
      </patternFill>
    </fill>
    <fill>
      <patternFill patternType="solid">
        <fgColor rgb="FF0B1F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vertical="top" wrapText="1"/>
    </xf>
    <xf numFmtId="0" fontId="2" fillId="3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/>
    <xf numFmtId="0" fontId="1" fillId="4" borderId="0" xfId="0" applyNumberFormat="1" applyFont="1" applyFill="1" applyBorder="1" applyAlignment="1">
      <alignment horizontal="center" vertical="top" wrapText="1"/>
    </xf>
    <xf numFmtId="0" fontId="3" fillId="5" borderId="0" xfId="0" applyNumberFormat="1" applyFont="1" applyFill="1" applyBorder="1" applyAlignment="1">
      <alignment horizontal="center" wrapText="1"/>
    </xf>
    <xf numFmtId="0" fontId="0" fillId="0" borderId="0" xfId="0" applyNumberFormat="1" applyFont="1" applyFill="1" applyBorder="1" applyAlignment="1">
      <alignment wrapText="1"/>
    </xf>
    <xf numFmtId="0" fontId="1" fillId="4" borderId="0" xfId="0" applyNumberFormat="1" applyFont="1" applyFill="1" applyBorder="1" applyAlignment="1">
      <alignment horizontal="center" vertical="center" wrapText="1"/>
    </xf>
    <xf numFmtId="0" fontId="0" fillId="0" borderId="0" xfId="0"/>
    <xf numFmtId="0" fontId="0" fillId="0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ADCF8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1"/>
  <sheetViews>
    <sheetView tabSelected="1" workbookViewId="0"/>
  </sheetViews>
  <sheetFormatPr defaultRowHeight="14.25"/>
  <cols>
    <col min="1" max="1" width="20" customWidth="1"/>
    <col min="2" max="2" width="8" customWidth="1"/>
    <col min="3" max="3" width="24" customWidth="1"/>
    <col min="4" max="4" width="30" customWidth="1"/>
    <col min="5" max="5" width="20" customWidth="1"/>
    <col min="6" max="6" width="24" customWidth="1"/>
    <col min="7" max="7" width="36" customWidth="1"/>
    <col min="8" max="8" width="24" customWidth="1"/>
    <col min="9" max="9" width="32" customWidth="1"/>
    <col min="10" max="10" width="16" customWidth="1"/>
    <col min="11" max="11" width="22" customWidth="1"/>
    <col min="12" max="12" width="42" customWidth="1"/>
    <col min="13" max="13" width="28" customWidth="1"/>
    <col min="14" max="15" width="32" customWidth="1"/>
    <col min="16" max="17" width="28" customWidth="1"/>
    <col min="18" max="18" width="24" customWidth="1"/>
    <col min="19" max="20" width="30" customWidth="1"/>
    <col min="21" max="21" width="32" customWidth="1"/>
    <col min="22" max="22" width="16" customWidth="1"/>
    <col min="23" max="23" width="36" customWidth="1"/>
  </cols>
  <sheetData>
    <row r="1" spans="1:23" ht="36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68.099999999999994" customHeight="1">
      <c r="A2" s="2" t="s">
        <v>23</v>
      </c>
      <c r="B2" s="2">
        <v>1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30</v>
      </c>
      <c r="J2" s="2" t="s">
        <v>31</v>
      </c>
      <c r="K2" s="2" t="s">
        <v>32</v>
      </c>
      <c r="L2" s="2" t="s">
        <v>33</v>
      </c>
      <c r="M2" s="2" t="s">
        <v>34</v>
      </c>
      <c r="N2" s="2" t="s">
        <v>35</v>
      </c>
      <c r="O2" s="2" t="s">
        <v>36</v>
      </c>
      <c r="P2" s="2" t="s">
        <v>37</v>
      </c>
      <c r="Q2" s="2" t="s">
        <v>38</v>
      </c>
      <c r="R2" s="2" t="s">
        <v>39</v>
      </c>
      <c r="S2" s="2" t="s">
        <v>40</v>
      </c>
      <c r="T2" s="2" t="s">
        <v>41</v>
      </c>
      <c r="U2" s="2" t="s">
        <v>42</v>
      </c>
      <c r="V2" s="2" t="s">
        <v>43</v>
      </c>
      <c r="W2" s="2" t="s">
        <v>44</v>
      </c>
    </row>
    <row r="3" spans="1:23" ht="68.099999999999994" customHeight="1">
      <c r="A3" s="2" t="s">
        <v>23</v>
      </c>
      <c r="B3" s="2">
        <v>2</v>
      </c>
      <c r="C3" s="2" t="s">
        <v>45</v>
      </c>
      <c r="D3" s="2" t="s">
        <v>46</v>
      </c>
      <c r="E3" s="2" t="s">
        <v>26</v>
      </c>
      <c r="F3" s="2" t="s">
        <v>27</v>
      </c>
      <c r="G3" s="2" t="s">
        <v>47</v>
      </c>
      <c r="H3" s="2" t="s">
        <v>48</v>
      </c>
      <c r="I3" s="2" t="s">
        <v>30</v>
      </c>
      <c r="J3" s="2" t="s">
        <v>31</v>
      </c>
      <c r="K3" s="2" t="s">
        <v>49</v>
      </c>
      <c r="L3" s="2" t="s">
        <v>50</v>
      </c>
      <c r="M3" s="2" t="s">
        <v>51</v>
      </c>
      <c r="N3" s="2" t="s">
        <v>52</v>
      </c>
      <c r="O3" s="2" t="s">
        <v>53</v>
      </c>
      <c r="P3" s="2" t="s">
        <v>54</v>
      </c>
      <c r="Q3" s="2" t="s">
        <v>55</v>
      </c>
      <c r="R3" s="2" t="s">
        <v>56</v>
      </c>
      <c r="S3" s="2" t="s">
        <v>57</v>
      </c>
      <c r="T3" s="2" t="s">
        <v>58</v>
      </c>
      <c r="U3" s="2" t="s">
        <v>59</v>
      </c>
      <c r="V3" s="2" t="s">
        <v>43</v>
      </c>
      <c r="W3" s="2" t="s">
        <v>60</v>
      </c>
    </row>
    <row r="4" spans="1:23" ht="68.099999999999994" customHeight="1">
      <c r="A4" s="2" t="s">
        <v>23</v>
      </c>
      <c r="B4" s="2">
        <v>3</v>
      </c>
      <c r="C4" s="2" t="s">
        <v>61</v>
      </c>
      <c r="D4" s="2" t="s">
        <v>62</v>
      </c>
      <c r="E4" s="2" t="s">
        <v>26</v>
      </c>
      <c r="F4" s="2" t="s">
        <v>27</v>
      </c>
      <c r="G4" s="2" t="s">
        <v>63</v>
      </c>
      <c r="H4" s="2" t="s">
        <v>64</v>
      </c>
      <c r="I4" s="2" t="s">
        <v>30</v>
      </c>
      <c r="J4" s="2" t="s">
        <v>31</v>
      </c>
      <c r="K4" s="2" t="s">
        <v>65</v>
      </c>
      <c r="L4" s="2" t="s">
        <v>66</v>
      </c>
      <c r="M4" s="2" t="s">
        <v>67</v>
      </c>
      <c r="N4" s="2" t="s">
        <v>68</v>
      </c>
      <c r="O4" s="2" t="s">
        <v>69</v>
      </c>
      <c r="P4" s="2" t="s">
        <v>70</v>
      </c>
      <c r="Q4" s="2" t="s">
        <v>71</v>
      </c>
      <c r="R4" s="2" t="s">
        <v>72</v>
      </c>
      <c r="S4" s="2" t="s">
        <v>73</v>
      </c>
      <c r="T4" s="2" t="s">
        <v>74</v>
      </c>
      <c r="U4" s="2" t="s">
        <v>75</v>
      </c>
      <c r="V4" s="2" t="s">
        <v>43</v>
      </c>
      <c r="W4" s="2" t="s">
        <v>76</v>
      </c>
    </row>
    <row r="5" spans="1:23" ht="68.099999999999994" customHeight="1">
      <c r="A5" s="2" t="s">
        <v>23</v>
      </c>
      <c r="B5" s="2">
        <v>4</v>
      </c>
      <c r="C5" s="2" t="s">
        <v>77</v>
      </c>
      <c r="D5" s="2" t="s">
        <v>78</v>
      </c>
      <c r="E5" s="2" t="s">
        <v>26</v>
      </c>
      <c r="F5" s="2" t="s">
        <v>27</v>
      </c>
      <c r="G5" s="2" t="s">
        <v>79</v>
      </c>
      <c r="H5" s="2" t="s">
        <v>80</v>
      </c>
      <c r="I5" s="2" t="s">
        <v>30</v>
      </c>
      <c r="J5" s="2" t="s">
        <v>31</v>
      </c>
      <c r="K5" s="2" t="s">
        <v>81</v>
      </c>
      <c r="L5" s="2" t="s">
        <v>82</v>
      </c>
      <c r="M5" s="2" t="s">
        <v>83</v>
      </c>
      <c r="N5" s="2" t="s">
        <v>84</v>
      </c>
      <c r="O5" s="2" t="s">
        <v>85</v>
      </c>
      <c r="P5" s="2" t="s">
        <v>86</v>
      </c>
      <c r="Q5" s="2" t="s">
        <v>87</v>
      </c>
      <c r="R5" s="2" t="s">
        <v>88</v>
      </c>
      <c r="S5" s="2" t="s">
        <v>89</v>
      </c>
      <c r="T5" s="2" t="s">
        <v>90</v>
      </c>
      <c r="U5" s="2" t="s">
        <v>91</v>
      </c>
      <c r="V5" s="2" t="s">
        <v>43</v>
      </c>
      <c r="W5" s="2" t="s">
        <v>92</v>
      </c>
    </row>
    <row r="6" spans="1:23" ht="68.099999999999994" customHeight="1">
      <c r="A6" s="2" t="s">
        <v>23</v>
      </c>
      <c r="B6" s="2">
        <v>5</v>
      </c>
      <c r="C6" s="2" t="s">
        <v>93</v>
      </c>
      <c r="D6" s="2" t="s">
        <v>94</v>
      </c>
      <c r="E6" s="2" t="s">
        <v>26</v>
      </c>
      <c r="F6" s="2" t="s">
        <v>27</v>
      </c>
      <c r="G6" s="2" t="s">
        <v>95</v>
      </c>
      <c r="H6" s="2" t="s">
        <v>96</v>
      </c>
      <c r="I6" s="2" t="s">
        <v>30</v>
      </c>
      <c r="J6" s="2" t="s">
        <v>31</v>
      </c>
      <c r="K6" s="2" t="s">
        <v>97</v>
      </c>
      <c r="L6" s="2" t="s">
        <v>98</v>
      </c>
      <c r="M6" s="2" t="s">
        <v>99</v>
      </c>
      <c r="N6" s="2" t="s">
        <v>100</v>
      </c>
      <c r="O6" s="2" t="s">
        <v>101</v>
      </c>
      <c r="P6" s="2" t="s">
        <v>102</v>
      </c>
      <c r="Q6" s="2" t="s">
        <v>103</v>
      </c>
      <c r="R6" s="2" t="s">
        <v>104</v>
      </c>
      <c r="S6" s="2" t="s">
        <v>105</v>
      </c>
      <c r="T6" s="2" t="s">
        <v>106</v>
      </c>
      <c r="U6" s="2" t="s">
        <v>107</v>
      </c>
      <c r="V6" s="2" t="s">
        <v>43</v>
      </c>
      <c r="W6" s="2" t="s">
        <v>108</v>
      </c>
    </row>
    <row r="7" spans="1:23" ht="68.099999999999994" customHeight="1">
      <c r="A7" s="2" t="s">
        <v>109</v>
      </c>
      <c r="B7" s="2">
        <v>6</v>
      </c>
      <c r="C7" s="2" t="s">
        <v>110</v>
      </c>
      <c r="D7" s="2" t="s">
        <v>111</v>
      </c>
      <c r="E7" s="2" t="s">
        <v>26</v>
      </c>
      <c r="F7" s="2" t="s">
        <v>27</v>
      </c>
      <c r="G7" s="2" t="s">
        <v>112</v>
      </c>
      <c r="H7" s="2" t="s">
        <v>113</v>
      </c>
      <c r="I7" s="2" t="s">
        <v>30</v>
      </c>
      <c r="J7" s="2" t="s">
        <v>31</v>
      </c>
      <c r="K7" s="2" t="s">
        <v>114</v>
      </c>
      <c r="L7" s="2" t="s">
        <v>115</v>
      </c>
      <c r="M7" s="2" t="s">
        <v>116</v>
      </c>
      <c r="N7" s="2" t="s">
        <v>117</v>
      </c>
      <c r="O7" s="2" t="s">
        <v>118</v>
      </c>
      <c r="P7" s="2" t="s">
        <v>119</v>
      </c>
      <c r="Q7" s="2" t="s">
        <v>120</v>
      </c>
      <c r="R7" s="2" t="s">
        <v>121</v>
      </c>
      <c r="S7" s="2" t="s">
        <v>122</v>
      </c>
      <c r="T7" s="2" t="s">
        <v>123</v>
      </c>
      <c r="U7" s="2" t="s">
        <v>124</v>
      </c>
      <c r="V7" s="2" t="s">
        <v>43</v>
      </c>
      <c r="W7" s="2" t="s">
        <v>125</v>
      </c>
    </row>
    <row r="8" spans="1:23" ht="68.099999999999994" customHeight="1">
      <c r="A8" s="2" t="s">
        <v>109</v>
      </c>
      <c r="B8" s="2">
        <v>7</v>
      </c>
      <c r="C8" s="2" t="s">
        <v>126</v>
      </c>
      <c r="D8" s="2" t="s">
        <v>127</v>
      </c>
      <c r="E8" s="2" t="s">
        <v>26</v>
      </c>
      <c r="F8" s="2" t="s">
        <v>27</v>
      </c>
      <c r="G8" s="2" t="s">
        <v>128</v>
      </c>
      <c r="H8" s="2" t="s">
        <v>129</v>
      </c>
      <c r="I8" s="2" t="s">
        <v>30</v>
      </c>
      <c r="J8" s="2" t="s">
        <v>31</v>
      </c>
      <c r="K8" s="2" t="s">
        <v>130</v>
      </c>
      <c r="L8" s="2" t="s">
        <v>131</v>
      </c>
      <c r="M8" s="2" t="s">
        <v>132</v>
      </c>
      <c r="N8" s="2" t="s">
        <v>133</v>
      </c>
      <c r="O8" s="2" t="s">
        <v>134</v>
      </c>
      <c r="P8" s="2" t="s">
        <v>135</v>
      </c>
      <c r="Q8" s="2" t="s">
        <v>136</v>
      </c>
      <c r="R8" s="2" t="s">
        <v>137</v>
      </c>
      <c r="S8" s="2" t="s">
        <v>138</v>
      </c>
      <c r="T8" s="2" t="s">
        <v>139</v>
      </c>
      <c r="U8" s="2" t="s">
        <v>140</v>
      </c>
      <c r="V8" s="2" t="s">
        <v>43</v>
      </c>
      <c r="W8" s="2" t="s">
        <v>141</v>
      </c>
    </row>
    <row r="9" spans="1:23" ht="68.099999999999994" customHeight="1">
      <c r="A9" s="2" t="s">
        <v>109</v>
      </c>
      <c r="B9" s="2">
        <v>8</v>
      </c>
      <c r="C9" s="2" t="s">
        <v>142</v>
      </c>
      <c r="D9" s="2" t="s">
        <v>143</v>
      </c>
      <c r="E9" s="2" t="s">
        <v>26</v>
      </c>
      <c r="F9" s="2" t="s">
        <v>27</v>
      </c>
      <c r="G9" s="2" t="s">
        <v>144</v>
      </c>
      <c r="H9" s="2" t="s">
        <v>145</v>
      </c>
      <c r="I9" s="2" t="s">
        <v>30</v>
      </c>
      <c r="J9" s="2" t="s">
        <v>31</v>
      </c>
      <c r="K9" s="2" t="s">
        <v>146</v>
      </c>
      <c r="L9" s="2" t="s">
        <v>147</v>
      </c>
      <c r="M9" s="2" t="s">
        <v>148</v>
      </c>
      <c r="N9" s="2" t="s">
        <v>149</v>
      </c>
      <c r="O9" s="2" t="s">
        <v>150</v>
      </c>
      <c r="P9" s="2" t="s">
        <v>151</v>
      </c>
      <c r="Q9" s="2" t="s">
        <v>152</v>
      </c>
      <c r="R9" s="2" t="s">
        <v>153</v>
      </c>
      <c r="S9" s="2" t="s">
        <v>154</v>
      </c>
      <c r="T9" s="2" t="s">
        <v>155</v>
      </c>
      <c r="U9" s="2" t="s">
        <v>156</v>
      </c>
      <c r="V9" s="2" t="s">
        <v>43</v>
      </c>
      <c r="W9" s="2" t="s">
        <v>157</v>
      </c>
    </row>
    <row r="10" spans="1:23" ht="68.099999999999994" customHeight="1">
      <c r="A10" s="2" t="s">
        <v>109</v>
      </c>
      <c r="B10" s="2">
        <v>9</v>
      </c>
      <c r="C10" s="2" t="s">
        <v>158</v>
      </c>
      <c r="D10" s="2" t="s">
        <v>159</v>
      </c>
      <c r="E10" s="2" t="s">
        <v>26</v>
      </c>
      <c r="F10" s="2" t="s">
        <v>27</v>
      </c>
      <c r="G10" s="2" t="s">
        <v>160</v>
      </c>
      <c r="H10" s="2" t="s">
        <v>161</v>
      </c>
      <c r="I10" s="2" t="s">
        <v>30</v>
      </c>
      <c r="J10" s="2" t="s">
        <v>31</v>
      </c>
      <c r="K10" s="2" t="s">
        <v>162</v>
      </c>
      <c r="L10" s="2" t="s">
        <v>163</v>
      </c>
      <c r="M10" s="2" t="s">
        <v>164</v>
      </c>
      <c r="N10" s="2" t="s">
        <v>165</v>
      </c>
      <c r="O10" s="2" t="s">
        <v>166</v>
      </c>
      <c r="P10" s="2" t="s">
        <v>167</v>
      </c>
      <c r="Q10" s="2" t="s">
        <v>168</v>
      </c>
      <c r="R10" s="2" t="s">
        <v>169</v>
      </c>
      <c r="S10" s="2" t="s">
        <v>170</v>
      </c>
      <c r="T10" s="2" t="s">
        <v>171</v>
      </c>
      <c r="U10" s="2" t="s">
        <v>172</v>
      </c>
      <c r="V10" s="2" t="s">
        <v>43</v>
      </c>
      <c r="W10" s="2" t="s">
        <v>173</v>
      </c>
    </row>
    <row r="11" spans="1:23" ht="68.099999999999994" customHeight="1">
      <c r="A11" s="2" t="s">
        <v>109</v>
      </c>
      <c r="B11" s="2">
        <v>10</v>
      </c>
      <c r="C11" s="2" t="s">
        <v>174</v>
      </c>
      <c r="D11" s="2" t="s">
        <v>175</v>
      </c>
      <c r="E11" s="2" t="s">
        <v>26</v>
      </c>
      <c r="F11" s="2" t="s">
        <v>27</v>
      </c>
      <c r="G11" s="2" t="s">
        <v>176</v>
      </c>
      <c r="H11" s="2" t="s">
        <v>177</v>
      </c>
      <c r="I11" s="2" t="s">
        <v>30</v>
      </c>
      <c r="J11" s="2" t="s">
        <v>31</v>
      </c>
      <c r="K11" s="2" t="s">
        <v>178</v>
      </c>
      <c r="L11" s="2" t="s">
        <v>179</v>
      </c>
      <c r="M11" s="2" t="s">
        <v>180</v>
      </c>
      <c r="N11" s="2" t="s">
        <v>181</v>
      </c>
      <c r="O11" s="2" t="s">
        <v>182</v>
      </c>
      <c r="P11" s="2" t="s">
        <v>183</v>
      </c>
      <c r="Q11" s="2" t="s">
        <v>184</v>
      </c>
      <c r="R11" s="2" t="s">
        <v>185</v>
      </c>
      <c r="S11" s="2" t="s">
        <v>186</v>
      </c>
      <c r="T11" s="2" t="s">
        <v>187</v>
      </c>
      <c r="U11" s="2" t="s">
        <v>188</v>
      </c>
      <c r="V11" s="2" t="s">
        <v>43</v>
      </c>
      <c r="W11" s="2" t="s">
        <v>189</v>
      </c>
    </row>
    <row r="12" spans="1:23" ht="68.099999999999994" customHeight="1">
      <c r="A12" s="2" t="s">
        <v>190</v>
      </c>
      <c r="B12" s="2">
        <v>11</v>
      </c>
      <c r="C12" s="2" t="s">
        <v>191</v>
      </c>
      <c r="D12" s="2" t="s">
        <v>192</v>
      </c>
      <c r="E12" s="2" t="s">
        <v>193</v>
      </c>
      <c r="F12" s="2" t="s">
        <v>194</v>
      </c>
      <c r="G12" s="2" t="s">
        <v>195</v>
      </c>
      <c r="H12" s="2" t="s">
        <v>196</v>
      </c>
      <c r="I12" s="2" t="s">
        <v>197</v>
      </c>
      <c r="J12" s="2" t="s">
        <v>198</v>
      </c>
      <c r="K12" s="2" t="s">
        <v>199</v>
      </c>
      <c r="L12" s="2" t="s">
        <v>200</v>
      </c>
      <c r="M12" s="2" t="s">
        <v>201</v>
      </c>
      <c r="N12" s="2" t="s">
        <v>202</v>
      </c>
      <c r="O12" s="2" t="s">
        <v>203</v>
      </c>
      <c r="P12" s="2" t="s">
        <v>204</v>
      </c>
      <c r="Q12" s="2" t="s">
        <v>205</v>
      </c>
      <c r="R12" s="2" t="s">
        <v>206</v>
      </c>
      <c r="S12" s="2" t="s">
        <v>207</v>
      </c>
      <c r="T12" s="2" t="s">
        <v>208</v>
      </c>
      <c r="U12" s="2" t="s">
        <v>209</v>
      </c>
      <c r="V12" s="2" t="s">
        <v>210</v>
      </c>
      <c r="W12" s="2" t="s">
        <v>211</v>
      </c>
    </row>
    <row r="13" spans="1:23" ht="68.099999999999994" customHeight="1">
      <c r="A13" s="2" t="s">
        <v>190</v>
      </c>
      <c r="B13" s="2">
        <v>12</v>
      </c>
      <c r="C13" s="2" t="s">
        <v>212</v>
      </c>
      <c r="D13" s="2" t="s">
        <v>192</v>
      </c>
      <c r="E13" s="2" t="s">
        <v>193</v>
      </c>
      <c r="F13" s="2" t="s">
        <v>194</v>
      </c>
      <c r="G13" s="2" t="s">
        <v>213</v>
      </c>
      <c r="H13" s="2" t="s">
        <v>214</v>
      </c>
      <c r="I13" s="2" t="s">
        <v>197</v>
      </c>
      <c r="J13" s="2" t="s">
        <v>198</v>
      </c>
      <c r="K13" s="2" t="s">
        <v>215</v>
      </c>
      <c r="L13" s="2" t="s">
        <v>216</v>
      </c>
      <c r="M13" s="2" t="s">
        <v>217</v>
      </c>
      <c r="N13" s="2" t="s">
        <v>218</v>
      </c>
      <c r="O13" s="2" t="s">
        <v>219</v>
      </c>
      <c r="P13" s="2" t="s">
        <v>220</v>
      </c>
      <c r="Q13" s="2" t="s">
        <v>221</v>
      </c>
      <c r="R13" s="2" t="s">
        <v>222</v>
      </c>
      <c r="S13" s="2" t="s">
        <v>223</v>
      </c>
      <c r="T13" s="2" t="s">
        <v>224</v>
      </c>
      <c r="U13" s="2" t="s">
        <v>225</v>
      </c>
      <c r="V13" s="2" t="s">
        <v>210</v>
      </c>
      <c r="W13" s="2" t="s">
        <v>226</v>
      </c>
    </row>
    <row r="14" spans="1:23" ht="68.099999999999994" customHeight="1">
      <c r="A14" s="2" t="s">
        <v>190</v>
      </c>
      <c r="B14" s="2">
        <v>13</v>
      </c>
      <c r="C14" s="2" t="s">
        <v>227</v>
      </c>
      <c r="D14" s="2" t="s">
        <v>192</v>
      </c>
      <c r="E14" s="2" t="s">
        <v>193</v>
      </c>
      <c r="F14" s="2" t="s">
        <v>194</v>
      </c>
      <c r="G14" s="2" t="s">
        <v>228</v>
      </c>
      <c r="H14" s="2" t="s">
        <v>229</v>
      </c>
      <c r="I14" s="2" t="s">
        <v>197</v>
      </c>
      <c r="J14" s="2" t="s">
        <v>198</v>
      </c>
      <c r="K14" s="2" t="s">
        <v>230</v>
      </c>
      <c r="L14" s="2" t="s">
        <v>231</v>
      </c>
      <c r="M14" s="2" t="s">
        <v>232</v>
      </c>
      <c r="N14" s="2" t="s">
        <v>233</v>
      </c>
      <c r="O14" s="2" t="s">
        <v>234</v>
      </c>
      <c r="P14" s="2" t="s">
        <v>235</v>
      </c>
      <c r="Q14" s="2" t="s">
        <v>236</v>
      </c>
      <c r="R14" s="2" t="s">
        <v>237</v>
      </c>
      <c r="S14" s="2" t="s">
        <v>238</v>
      </c>
      <c r="T14" s="2" t="s">
        <v>239</v>
      </c>
      <c r="U14" s="2" t="s">
        <v>240</v>
      </c>
      <c r="V14" s="2" t="s">
        <v>210</v>
      </c>
      <c r="W14" s="2" t="s">
        <v>241</v>
      </c>
    </row>
    <row r="15" spans="1:23" ht="68.099999999999994" customHeight="1">
      <c r="A15" s="2" t="s">
        <v>190</v>
      </c>
      <c r="B15" s="2">
        <v>14</v>
      </c>
      <c r="C15" s="2" t="s">
        <v>242</v>
      </c>
      <c r="D15" s="2" t="s">
        <v>243</v>
      </c>
      <c r="E15" s="2" t="s">
        <v>26</v>
      </c>
      <c r="F15" s="2" t="s">
        <v>194</v>
      </c>
      <c r="G15" s="2" t="s">
        <v>244</v>
      </c>
      <c r="H15" s="2" t="s">
        <v>245</v>
      </c>
      <c r="I15" s="2" t="s">
        <v>30</v>
      </c>
      <c r="J15" s="2" t="s">
        <v>198</v>
      </c>
      <c r="K15" s="2" t="s">
        <v>246</v>
      </c>
      <c r="L15" s="2" t="s">
        <v>247</v>
      </c>
      <c r="M15" s="2" t="s">
        <v>248</v>
      </c>
      <c r="N15" s="2" t="s">
        <v>249</v>
      </c>
      <c r="O15" s="2" t="s">
        <v>250</v>
      </c>
      <c r="P15" s="2" t="s">
        <v>251</v>
      </c>
      <c r="Q15" s="2" t="s">
        <v>252</v>
      </c>
      <c r="R15" s="2" t="s">
        <v>253</v>
      </c>
      <c r="S15" s="2" t="s">
        <v>254</v>
      </c>
      <c r="T15" s="2" t="s">
        <v>255</v>
      </c>
      <c r="U15" s="2" t="s">
        <v>256</v>
      </c>
      <c r="V15" s="2" t="s">
        <v>210</v>
      </c>
      <c r="W15" s="2" t="s">
        <v>257</v>
      </c>
    </row>
    <row r="16" spans="1:23" ht="68.099999999999994" customHeight="1">
      <c r="A16" s="2" t="s">
        <v>190</v>
      </c>
      <c r="B16" s="2">
        <v>15</v>
      </c>
      <c r="C16" s="2" t="s">
        <v>258</v>
      </c>
      <c r="D16" s="2" t="s">
        <v>259</v>
      </c>
      <c r="E16" s="2" t="s">
        <v>26</v>
      </c>
      <c r="F16" s="2" t="s">
        <v>194</v>
      </c>
      <c r="G16" s="2" t="s">
        <v>260</v>
      </c>
      <c r="H16" s="2" t="s">
        <v>261</v>
      </c>
      <c r="I16" s="2" t="s">
        <v>30</v>
      </c>
      <c r="J16" s="2" t="s">
        <v>198</v>
      </c>
      <c r="K16" s="2" t="s">
        <v>262</v>
      </c>
      <c r="L16" s="2" t="s">
        <v>263</v>
      </c>
      <c r="M16" s="2" t="s">
        <v>264</v>
      </c>
      <c r="N16" s="2" t="s">
        <v>265</v>
      </c>
      <c r="O16" s="2" t="s">
        <v>266</v>
      </c>
      <c r="P16" s="2" t="s">
        <v>267</v>
      </c>
      <c r="Q16" s="2" t="s">
        <v>268</v>
      </c>
      <c r="R16" s="2" t="s">
        <v>269</v>
      </c>
      <c r="S16" s="2" t="s">
        <v>270</v>
      </c>
      <c r="T16" s="2" t="s">
        <v>271</v>
      </c>
      <c r="U16" s="2" t="s">
        <v>272</v>
      </c>
      <c r="V16" s="2" t="s">
        <v>210</v>
      </c>
      <c r="W16" s="2" t="s">
        <v>273</v>
      </c>
    </row>
    <row r="17" spans="1:23" ht="68.099999999999994" customHeight="1">
      <c r="A17" s="2" t="s">
        <v>274</v>
      </c>
      <c r="B17" s="2">
        <v>16</v>
      </c>
      <c r="C17" s="2" t="s">
        <v>275</v>
      </c>
      <c r="D17" s="2" t="s">
        <v>276</v>
      </c>
      <c r="E17" s="2" t="s">
        <v>26</v>
      </c>
      <c r="F17" s="2" t="s">
        <v>194</v>
      </c>
      <c r="G17" s="2" t="s">
        <v>277</v>
      </c>
      <c r="H17" s="2" t="s">
        <v>278</v>
      </c>
      <c r="I17" s="2" t="s">
        <v>279</v>
      </c>
      <c r="J17" s="2" t="s">
        <v>198</v>
      </c>
      <c r="K17" s="2" t="s">
        <v>280</v>
      </c>
      <c r="L17" s="2" t="s">
        <v>281</v>
      </c>
      <c r="M17" s="2" t="s">
        <v>282</v>
      </c>
      <c r="N17" s="2" t="s">
        <v>283</v>
      </c>
      <c r="O17" s="2" t="s">
        <v>284</v>
      </c>
      <c r="P17" s="2" t="s">
        <v>285</v>
      </c>
      <c r="Q17" s="2" t="s">
        <v>286</v>
      </c>
      <c r="R17" s="2" t="s">
        <v>287</v>
      </c>
      <c r="S17" s="2" t="s">
        <v>288</v>
      </c>
      <c r="T17" s="2" t="s">
        <v>289</v>
      </c>
      <c r="U17" s="2" t="s">
        <v>290</v>
      </c>
      <c r="V17" s="2" t="s">
        <v>291</v>
      </c>
      <c r="W17" s="2" t="s">
        <v>292</v>
      </c>
    </row>
    <row r="18" spans="1:23" ht="68.099999999999994" customHeight="1">
      <c r="A18" s="2" t="s">
        <v>274</v>
      </c>
      <c r="B18" s="2">
        <v>17</v>
      </c>
      <c r="C18" s="2" t="s">
        <v>293</v>
      </c>
      <c r="D18" s="2" t="s">
        <v>294</v>
      </c>
      <c r="E18" s="2" t="s">
        <v>26</v>
      </c>
      <c r="F18" s="2" t="s">
        <v>194</v>
      </c>
      <c r="G18" s="2" t="s">
        <v>295</v>
      </c>
      <c r="H18" s="2" t="s">
        <v>296</v>
      </c>
      <c r="I18" s="2" t="s">
        <v>279</v>
      </c>
      <c r="J18" s="2" t="s">
        <v>297</v>
      </c>
      <c r="K18" s="2" t="s">
        <v>298</v>
      </c>
      <c r="L18" s="2" t="s">
        <v>299</v>
      </c>
      <c r="M18" s="2" t="s">
        <v>300</v>
      </c>
      <c r="N18" s="2" t="s">
        <v>301</v>
      </c>
      <c r="O18" s="2" t="s">
        <v>302</v>
      </c>
      <c r="P18" s="2" t="s">
        <v>303</v>
      </c>
      <c r="Q18" s="2" t="s">
        <v>304</v>
      </c>
      <c r="R18" s="2" t="s">
        <v>305</v>
      </c>
      <c r="S18" s="2" t="s">
        <v>306</v>
      </c>
      <c r="T18" s="2" t="s">
        <v>307</v>
      </c>
      <c r="U18" s="2" t="s">
        <v>308</v>
      </c>
      <c r="V18" s="2" t="s">
        <v>291</v>
      </c>
      <c r="W18" s="2" t="s">
        <v>309</v>
      </c>
    </row>
    <row r="19" spans="1:23" ht="68.099999999999994" customHeight="1">
      <c r="A19" s="2" t="s">
        <v>274</v>
      </c>
      <c r="B19" s="2">
        <v>18</v>
      </c>
      <c r="C19" s="2" t="s">
        <v>310</v>
      </c>
      <c r="D19" s="2" t="s">
        <v>311</v>
      </c>
      <c r="E19" s="2" t="s">
        <v>26</v>
      </c>
      <c r="F19" s="2" t="s">
        <v>194</v>
      </c>
      <c r="G19" s="2" t="s">
        <v>312</v>
      </c>
      <c r="H19" s="2" t="s">
        <v>313</v>
      </c>
      <c r="I19" s="2" t="s">
        <v>30</v>
      </c>
      <c r="J19" s="2" t="s">
        <v>198</v>
      </c>
      <c r="K19" s="2" t="s">
        <v>314</v>
      </c>
      <c r="L19" s="2" t="s">
        <v>315</v>
      </c>
      <c r="M19" s="2" t="s">
        <v>316</v>
      </c>
      <c r="N19" s="2" t="s">
        <v>317</v>
      </c>
      <c r="O19" s="2" t="s">
        <v>318</v>
      </c>
      <c r="P19" s="2" t="s">
        <v>319</v>
      </c>
      <c r="Q19" s="2" t="s">
        <v>320</v>
      </c>
      <c r="R19" s="2" t="s">
        <v>321</v>
      </c>
      <c r="S19" s="2" t="s">
        <v>322</v>
      </c>
      <c r="T19" s="2" t="s">
        <v>323</v>
      </c>
      <c r="U19" s="2" t="s">
        <v>324</v>
      </c>
      <c r="V19" s="2" t="s">
        <v>291</v>
      </c>
      <c r="W19" s="2" t="s">
        <v>325</v>
      </c>
    </row>
    <row r="20" spans="1:23" ht="68.099999999999994" customHeight="1">
      <c r="A20" s="2" t="s">
        <v>274</v>
      </c>
      <c r="B20" s="2">
        <v>19</v>
      </c>
      <c r="C20" s="2" t="s">
        <v>326</v>
      </c>
      <c r="D20" s="2" t="s">
        <v>327</v>
      </c>
      <c r="E20" s="2" t="s">
        <v>26</v>
      </c>
      <c r="F20" s="2" t="s">
        <v>194</v>
      </c>
      <c r="G20" s="2" t="s">
        <v>328</v>
      </c>
      <c r="H20" s="2" t="s">
        <v>329</v>
      </c>
      <c r="I20" s="2" t="s">
        <v>30</v>
      </c>
      <c r="J20" s="2" t="s">
        <v>297</v>
      </c>
      <c r="K20" s="2" t="s">
        <v>330</v>
      </c>
      <c r="L20" s="2" t="s">
        <v>331</v>
      </c>
      <c r="M20" s="2" t="s">
        <v>332</v>
      </c>
      <c r="N20" s="2" t="s">
        <v>333</v>
      </c>
      <c r="O20" s="2" t="s">
        <v>334</v>
      </c>
      <c r="P20" s="2" t="s">
        <v>335</v>
      </c>
      <c r="Q20" s="2" t="s">
        <v>336</v>
      </c>
      <c r="R20" s="2" t="s">
        <v>337</v>
      </c>
      <c r="S20" s="2" t="s">
        <v>338</v>
      </c>
      <c r="T20" s="2" t="s">
        <v>339</v>
      </c>
      <c r="U20" s="2" t="s">
        <v>340</v>
      </c>
      <c r="V20" s="2" t="s">
        <v>291</v>
      </c>
      <c r="W20" s="2" t="s">
        <v>341</v>
      </c>
    </row>
    <row r="21" spans="1:23" ht="68.099999999999994" customHeight="1">
      <c r="A21" s="2" t="s">
        <v>274</v>
      </c>
      <c r="B21" s="2">
        <v>20</v>
      </c>
      <c r="C21" s="2" t="s">
        <v>342</v>
      </c>
      <c r="D21" s="2" t="s">
        <v>343</v>
      </c>
      <c r="E21" s="2" t="s">
        <v>26</v>
      </c>
      <c r="F21" s="2" t="s">
        <v>194</v>
      </c>
      <c r="G21" s="2" t="s">
        <v>344</v>
      </c>
      <c r="H21" s="2" t="s">
        <v>345</v>
      </c>
      <c r="I21" s="2" t="s">
        <v>279</v>
      </c>
      <c r="J21" s="2" t="s">
        <v>198</v>
      </c>
      <c r="K21" s="2" t="s">
        <v>346</v>
      </c>
      <c r="L21" s="2" t="s">
        <v>347</v>
      </c>
      <c r="M21" s="2" t="s">
        <v>348</v>
      </c>
      <c r="N21" s="2" t="s">
        <v>349</v>
      </c>
      <c r="O21" s="2" t="s">
        <v>350</v>
      </c>
      <c r="P21" s="2" t="s">
        <v>351</v>
      </c>
      <c r="Q21" s="2" t="s">
        <v>352</v>
      </c>
      <c r="R21" s="2" t="s">
        <v>353</v>
      </c>
      <c r="S21" s="2" t="s">
        <v>354</v>
      </c>
      <c r="T21" s="2" t="s">
        <v>355</v>
      </c>
      <c r="U21" s="2" t="s">
        <v>356</v>
      </c>
      <c r="V21" s="2" t="s">
        <v>210</v>
      </c>
      <c r="W21" s="2" t="s">
        <v>357</v>
      </c>
    </row>
    <row r="22" spans="1:23" ht="68.099999999999994" customHeight="1">
      <c r="A22" s="2" t="s">
        <v>358</v>
      </c>
      <c r="B22" s="2">
        <v>21</v>
      </c>
      <c r="C22" s="2" t="s">
        <v>359</v>
      </c>
      <c r="D22" s="2" t="s">
        <v>360</v>
      </c>
      <c r="E22" s="2" t="s">
        <v>26</v>
      </c>
      <c r="F22" s="2" t="s">
        <v>361</v>
      </c>
      <c r="G22" s="2" t="s">
        <v>362</v>
      </c>
      <c r="H22" s="2" t="s">
        <v>363</v>
      </c>
      <c r="I22" s="2" t="s">
        <v>30</v>
      </c>
      <c r="J22" s="2" t="s">
        <v>198</v>
      </c>
      <c r="K22" s="2" t="s">
        <v>364</v>
      </c>
      <c r="L22" s="2" t="s">
        <v>365</v>
      </c>
      <c r="M22" s="2" t="s">
        <v>366</v>
      </c>
      <c r="N22" s="2" t="s">
        <v>367</v>
      </c>
      <c r="O22" s="2" t="s">
        <v>368</v>
      </c>
      <c r="P22" s="2" t="s">
        <v>369</v>
      </c>
      <c r="Q22" s="2" t="s">
        <v>370</v>
      </c>
      <c r="R22" s="2" t="s">
        <v>371</v>
      </c>
      <c r="S22" s="2" t="s">
        <v>372</v>
      </c>
      <c r="T22" s="2" t="s">
        <v>373</v>
      </c>
      <c r="U22" s="2" t="s">
        <v>374</v>
      </c>
      <c r="V22" s="2" t="s">
        <v>291</v>
      </c>
      <c r="W22" s="2" t="s">
        <v>375</v>
      </c>
    </row>
    <row r="23" spans="1:23" ht="68.099999999999994" customHeight="1">
      <c r="A23" s="2" t="s">
        <v>358</v>
      </c>
      <c r="B23" s="2">
        <v>22</v>
      </c>
      <c r="C23" s="2" t="s">
        <v>376</v>
      </c>
      <c r="D23" s="2" t="s">
        <v>377</v>
      </c>
      <c r="E23" s="2" t="s">
        <v>378</v>
      </c>
      <c r="F23" s="2" t="s">
        <v>361</v>
      </c>
      <c r="G23" s="2" t="s">
        <v>379</v>
      </c>
      <c r="H23" s="2" t="s">
        <v>380</v>
      </c>
      <c r="I23" s="2" t="s">
        <v>30</v>
      </c>
      <c r="J23" s="2" t="s">
        <v>198</v>
      </c>
      <c r="K23" s="2" t="s">
        <v>381</v>
      </c>
      <c r="L23" s="2" t="s">
        <v>382</v>
      </c>
      <c r="M23" s="2" t="s">
        <v>383</v>
      </c>
      <c r="N23" s="2" t="s">
        <v>384</v>
      </c>
      <c r="O23" s="2" t="s">
        <v>385</v>
      </c>
      <c r="P23" s="2" t="s">
        <v>386</v>
      </c>
      <c r="Q23" s="2" t="s">
        <v>387</v>
      </c>
      <c r="R23" s="2" t="s">
        <v>388</v>
      </c>
      <c r="S23" s="2" t="s">
        <v>389</v>
      </c>
      <c r="T23" s="2" t="s">
        <v>390</v>
      </c>
      <c r="U23" s="2" t="s">
        <v>391</v>
      </c>
      <c r="V23" s="2" t="s">
        <v>291</v>
      </c>
      <c r="W23" s="2" t="s">
        <v>392</v>
      </c>
    </row>
    <row r="24" spans="1:23" ht="68.099999999999994" customHeight="1">
      <c r="A24" s="2" t="s">
        <v>358</v>
      </c>
      <c r="B24" s="2">
        <v>23</v>
      </c>
      <c r="C24" s="2" t="s">
        <v>393</v>
      </c>
      <c r="D24" s="2" t="s">
        <v>394</v>
      </c>
      <c r="E24" s="2" t="s">
        <v>26</v>
      </c>
      <c r="F24" s="2" t="s">
        <v>361</v>
      </c>
      <c r="G24" s="2" t="s">
        <v>395</v>
      </c>
      <c r="H24" s="2" t="s">
        <v>396</v>
      </c>
      <c r="I24" s="2" t="s">
        <v>30</v>
      </c>
      <c r="J24" s="2" t="s">
        <v>297</v>
      </c>
      <c r="K24" s="2" t="s">
        <v>397</v>
      </c>
      <c r="L24" s="2" t="s">
        <v>398</v>
      </c>
      <c r="M24" s="2" t="s">
        <v>399</v>
      </c>
      <c r="N24" s="2" t="s">
        <v>400</v>
      </c>
      <c r="O24" s="2" t="s">
        <v>401</v>
      </c>
      <c r="P24" s="2" t="s">
        <v>402</v>
      </c>
      <c r="Q24" s="2" t="s">
        <v>403</v>
      </c>
      <c r="R24" s="2" t="s">
        <v>404</v>
      </c>
      <c r="S24" s="2" t="s">
        <v>405</v>
      </c>
      <c r="T24" s="2" t="s">
        <v>406</v>
      </c>
      <c r="U24" s="2" t="s">
        <v>407</v>
      </c>
      <c r="V24" s="2" t="s">
        <v>291</v>
      </c>
      <c r="W24" s="2" t="s">
        <v>408</v>
      </c>
    </row>
    <row r="25" spans="1:23" ht="68.099999999999994" customHeight="1">
      <c r="A25" s="2" t="s">
        <v>358</v>
      </c>
      <c r="B25" s="2">
        <v>24</v>
      </c>
      <c r="C25" s="2" t="s">
        <v>409</v>
      </c>
      <c r="D25" s="2" t="s">
        <v>410</v>
      </c>
      <c r="E25" s="2" t="s">
        <v>26</v>
      </c>
      <c r="F25" s="2" t="s">
        <v>361</v>
      </c>
      <c r="G25" s="2" t="s">
        <v>411</v>
      </c>
      <c r="H25" s="2" t="s">
        <v>412</v>
      </c>
      <c r="I25" s="2" t="s">
        <v>413</v>
      </c>
      <c r="J25" s="2" t="s">
        <v>198</v>
      </c>
      <c r="K25" s="2" t="s">
        <v>414</v>
      </c>
      <c r="L25" s="2" t="s">
        <v>415</v>
      </c>
      <c r="M25" s="2" t="s">
        <v>416</v>
      </c>
      <c r="N25" s="2" t="s">
        <v>417</v>
      </c>
      <c r="O25" s="2" t="s">
        <v>418</v>
      </c>
      <c r="P25" s="2" t="s">
        <v>419</v>
      </c>
      <c r="Q25" s="2" t="s">
        <v>420</v>
      </c>
      <c r="R25" s="2" t="s">
        <v>421</v>
      </c>
      <c r="S25" s="2" t="s">
        <v>422</v>
      </c>
      <c r="T25" s="2" t="s">
        <v>423</v>
      </c>
      <c r="U25" s="2" t="s">
        <v>424</v>
      </c>
      <c r="V25" s="2" t="s">
        <v>291</v>
      </c>
      <c r="W25" s="2" t="s">
        <v>425</v>
      </c>
    </row>
    <row r="26" spans="1:23" ht="68.099999999999994" customHeight="1">
      <c r="A26" s="2" t="s">
        <v>358</v>
      </c>
      <c r="B26" s="2">
        <v>25</v>
      </c>
      <c r="C26" s="2" t="s">
        <v>426</v>
      </c>
      <c r="D26" s="2" t="s">
        <v>427</v>
      </c>
      <c r="E26" s="2" t="s">
        <v>428</v>
      </c>
      <c r="F26" s="2" t="s">
        <v>361</v>
      </c>
      <c r="G26" s="2" t="s">
        <v>429</v>
      </c>
      <c r="H26" s="2" t="s">
        <v>430</v>
      </c>
      <c r="I26" s="2" t="s">
        <v>197</v>
      </c>
      <c r="J26" s="2" t="s">
        <v>297</v>
      </c>
      <c r="K26" s="2" t="s">
        <v>431</v>
      </c>
      <c r="L26" s="2" t="s">
        <v>432</v>
      </c>
      <c r="M26" s="2" t="s">
        <v>433</v>
      </c>
      <c r="N26" s="2" t="s">
        <v>434</v>
      </c>
      <c r="O26" s="2" t="s">
        <v>435</v>
      </c>
      <c r="P26" s="2" t="s">
        <v>436</v>
      </c>
      <c r="Q26" s="2" t="s">
        <v>437</v>
      </c>
      <c r="R26" s="2" t="s">
        <v>438</v>
      </c>
      <c r="S26" s="2" t="s">
        <v>439</v>
      </c>
      <c r="T26" s="2" t="s">
        <v>440</v>
      </c>
      <c r="U26" s="2" t="s">
        <v>441</v>
      </c>
      <c r="V26" s="2" t="s">
        <v>442</v>
      </c>
      <c r="W26" s="2" t="s">
        <v>443</v>
      </c>
    </row>
    <row r="27" spans="1:23" ht="68.099999999999994" customHeight="1">
      <c r="A27" s="2" t="s">
        <v>444</v>
      </c>
      <c r="B27" s="2">
        <v>26</v>
      </c>
      <c r="C27" s="2" t="s">
        <v>445</v>
      </c>
      <c r="D27" s="2" t="s">
        <v>446</v>
      </c>
      <c r="E27" s="2" t="s">
        <v>26</v>
      </c>
      <c r="F27" s="2" t="s">
        <v>361</v>
      </c>
      <c r="G27" s="2" t="s">
        <v>447</v>
      </c>
      <c r="H27" s="2" t="s">
        <v>448</v>
      </c>
      <c r="I27" s="2" t="s">
        <v>449</v>
      </c>
      <c r="J27" s="2" t="s">
        <v>198</v>
      </c>
      <c r="K27" s="2" t="s">
        <v>450</v>
      </c>
      <c r="L27" s="2" t="s">
        <v>451</v>
      </c>
      <c r="M27" s="2" t="s">
        <v>452</v>
      </c>
      <c r="N27" s="2" t="s">
        <v>453</v>
      </c>
      <c r="O27" s="2" t="s">
        <v>454</v>
      </c>
      <c r="P27" s="2" t="s">
        <v>455</v>
      </c>
      <c r="Q27" s="2" t="s">
        <v>456</v>
      </c>
      <c r="R27" s="2" t="s">
        <v>457</v>
      </c>
      <c r="S27" s="2" t="s">
        <v>458</v>
      </c>
      <c r="T27" s="2" t="s">
        <v>459</v>
      </c>
      <c r="U27" s="2" t="s">
        <v>460</v>
      </c>
      <c r="V27" s="2" t="s">
        <v>291</v>
      </c>
      <c r="W27" s="2" t="s">
        <v>461</v>
      </c>
    </row>
    <row r="28" spans="1:23" ht="68.099999999999994" customHeight="1">
      <c r="A28" s="2" t="s">
        <v>444</v>
      </c>
      <c r="B28" s="2">
        <v>27</v>
      </c>
      <c r="C28" s="2" t="s">
        <v>462</v>
      </c>
      <c r="D28" s="2" t="s">
        <v>463</v>
      </c>
      <c r="E28" s="2" t="s">
        <v>464</v>
      </c>
      <c r="F28" s="2" t="s">
        <v>361</v>
      </c>
      <c r="G28" s="2" t="s">
        <v>465</v>
      </c>
      <c r="H28" s="2" t="s">
        <v>466</v>
      </c>
      <c r="I28" s="2" t="s">
        <v>30</v>
      </c>
      <c r="J28" s="2" t="s">
        <v>198</v>
      </c>
      <c r="K28" s="2" t="s">
        <v>467</v>
      </c>
      <c r="L28" s="2" t="s">
        <v>468</v>
      </c>
      <c r="M28" s="2" t="s">
        <v>469</v>
      </c>
      <c r="N28" s="2" t="s">
        <v>470</v>
      </c>
      <c r="O28" s="2" t="s">
        <v>471</v>
      </c>
      <c r="P28" s="2" t="s">
        <v>472</v>
      </c>
      <c r="Q28" s="2" t="s">
        <v>473</v>
      </c>
      <c r="R28" s="2" t="s">
        <v>474</v>
      </c>
      <c r="S28" s="2" t="s">
        <v>475</v>
      </c>
      <c r="T28" s="2" t="s">
        <v>476</v>
      </c>
      <c r="U28" s="2" t="s">
        <v>477</v>
      </c>
      <c r="V28" s="2" t="s">
        <v>291</v>
      </c>
      <c r="W28" s="2" t="s">
        <v>478</v>
      </c>
    </row>
    <row r="29" spans="1:23" ht="68.099999999999994" customHeight="1">
      <c r="A29" s="2" t="s">
        <v>444</v>
      </c>
      <c r="B29" s="2">
        <v>28</v>
      </c>
      <c r="C29" s="2" t="s">
        <v>479</v>
      </c>
      <c r="D29" s="2" t="s">
        <v>480</v>
      </c>
      <c r="E29" s="2" t="s">
        <v>26</v>
      </c>
      <c r="F29" s="2" t="s">
        <v>361</v>
      </c>
      <c r="G29" s="2" t="s">
        <v>481</v>
      </c>
      <c r="H29" s="2" t="s">
        <v>482</v>
      </c>
      <c r="I29" s="2" t="s">
        <v>279</v>
      </c>
      <c r="J29" s="2" t="s">
        <v>198</v>
      </c>
      <c r="K29" s="2" t="s">
        <v>483</v>
      </c>
      <c r="L29" s="2" t="s">
        <v>484</v>
      </c>
      <c r="M29" s="2" t="s">
        <v>485</v>
      </c>
      <c r="N29" s="2" t="s">
        <v>486</v>
      </c>
      <c r="O29" s="2" t="s">
        <v>487</v>
      </c>
      <c r="P29" s="2" t="s">
        <v>488</v>
      </c>
      <c r="Q29" s="2" t="s">
        <v>489</v>
      </c>
      <c r="R29" s="2" t="s">
        <v>490</v>
      </c>
      <c r="S29" s="2" t="s">
        <v>491</v>
      </c>
      <c r="T29" s="2" t="s">
        <v>492</v>
      </c>
      <c r="U29" s="2" t="s">
        <v>493</v>
      </c>
      <c r="V29" s="2" t="s">
        <v>210</v>
      </c>
      <c r="W29" s="2" t="s">
        <v>494</v>
      </c>
    </row>
    <row r="30" spans="1:23" ht="68.099999999999994" customHeight="1">
      <c r="A30" s="2" t="s">
        <v>444</v>
      </c>
      <c r="B30" s="2">
        <v>29</v>
      </c>
      <c r="C30" s="2" t="s">
        <v>495</v>
      </c>
      <c r="D30" s="2" t="s">
        <v>496</v>
      </c>
      <c r="E30" s="2" t="s">
        <v>26</v>
      </c>
      <c r="F30" s="2" t="s">
        <v>361</v>
      </c>
      <c r="G30" s="2" t="s">
        <v>497</v>
      </c>
      <c r="H30" s="2" t="s">
        <v>498</v>
      </c>
      <c r="I30" s="2" t="s">
        <v>499</v>
      </c>
      <c r="J30" s="2" t="s">
        <v>198</v>
      </c>
      <c r="K30" s="2" t="s">
        <v>500</v>
      </c>
      <c r="L30" s="2" t="s">
        <v>501</v>
      </c>
      <c r="M30" s="2" t="s">
        <v>502</v>
      </c>
      <c r="N30" s="2" t="s">
        <v>503</v>
      </c>
      <c r="O30" s="2" t="s">
        <v>504</v>
      </c>
      <c r="P30" s="2" t="s">
        <v>505</v>
      </c>
      <c r="Q30" s="2" t="s">
        <v>352</v>
      </c>
      <c r="R30" s="2" t="s">
        <v>506</v>
      </c>
      <c r="S30" s="2" t="s">
        <v>507</v>
      </c>
      <c r="T30" s="2" t="s">
        <v>508</v>
      </c>
      <c r="U30" s="2" t="s">
        <v>509</v>
      </c>
      <c r="V30" s="2" t="s">
        <v>291</v>
      </c>
      <c r="W30" s="2" t="s">
        <v>510</v>
      </c>
    </row>
    <row r="31" spans="1:23" ht="68.099999999999994" customHeight="1">
      <c r="A31" s="2" t="s">
        <v>444</v>
      </c>
      <c r="B31" s="2">
        <v>30</v>
      </c>
      <c r="C31" s="2" t="s">
        <v>511</v>
      </c>
      <c r="D31" s="2" t="s">
        <v>512</v>
      </c>
      <c r="E31" s="2" t="s">
        <v>428</v>
      </c>
      <c r="F31" s="2" t="s">
        <v>361</v>
      </c>
      <c r="G31" s="2" t="s">
        <v>513</v>
      </c>
      <c r="H31" s="2" t="s">
        <v>514</v>
      </c>
      <c r="I31" s="2" t="s">
        <v>197</v>
      </c>
      <c r="J31" s="2" t="s">
        <v>297</v>
      </c>
      <c r="K31" s="2" t="s">
        <v>515</v>
      </c>
      <c r="L31" s="2" t="s">
        <v>516</v>
      </c>
      <c r="M31" s="2" t="s">
        <v>517</v>
      </c>
      <c r="N31" s="2" t="s">
        <v>518</v>
      </c>
      <c r="O31" s="2" t="s">
        <v>519</v>
      </c>
      <c r="P31" s="2" t="s">
        <v>520</v>
      </c>
      <c r="Q31" s="2" t="s">
        <v>521</v>
      </c>
      <c r="R31" s="2" t="s">
        <v>522</v>
      </c>
      <c r="S31" s="2" t="s">
        <v>523</v>
      </c>
      <c r="T31" s="2" t="s">
        <v>524</v>
      </c>
      <c r="U31" s="2" t="s">
        <v>525</v>
      </c>
      <c r="V31" s="2" t="s">
        <v>442</v>
      </c>
      <c r="W31" s="2" t="s">
        <v>526</v>
      </c>
    </row>
    <row r="32" spans="1:23" ht="68.099999999999994" customHeight="1">
      <c r="A32" s="2" t="s">
        <v>527</v>
      </c>
      <c r="B32" s="2">
        <v>31</v>
      </c>
      <c r="C32" s="2" t="s">
        <v>528</v>
      </c>
      <c r="D32" s="2" t="s">
        <v>529</v>
      </c>
      <c r="E32" s="2" t="s">
        <v>464</v>
      </c>
      <c r="F32" s="2" t="s">
        <v>361</v>
      </c>
      <c r="G32" s="2" t="s">
        <v>530</v>
      </c>
      <c r="H32" s="2" t="s">
        <v>531</v>
      </c>
      <c r="I32" s="2" t="s">
        <v>30</v>
      </c>
      <c r="J32" s="2" t="s">
        <v>198</v>
      </c>
      <c r="K32" s="2" t="s">
        <v>532</v>
      </c>
      <c r="L32" s="2" t="s">
        <v>533</v>
      </c>
      <c r="M32" s="2" t="s">
        <v>534</v>
      </c>
      <c r="N32" s="2" t="s">
        <v>535</v>
      </c>
      <c r="O32" s="2" t="s">
        <v>536</v>
      </c>
      <c r="P32" s="2" t="s">
        <v>537</v>
      </c>
      <c r="Q32" s="2" t="s">
        <v>538</v>
      </c>
      <c r="R32" s="2" t="s">
        <v>539</v>
      </c>
      <c r="S32" s="2" t="s">
        <v>540</v>
      </c>
      <c r="T32" s="2" t="s">
        <v>541</v>
      </c>
      <c r="U32" s="2" t="s">
        <v>542</v>
      </c>
      <c r="V32" s="2" t="s">
        <v>210</v>
      </c>
      <c r="W32" s="2" t="s">
        <v>543</v>
      </c>
    </row>
    <row r="33" spans="1:23" ht="68.099999999999994" customHeight="1">
      <c r="A33" s="2" t="s">
        <v>527</v>
      </c>
      <c r="B33" s="2">
        <v>32</v>
      </c>
      <c r="C33" s="2" t="s">
        <v>544</v>
      </c>
      <c r="D33" s="2" t="s">
        <v>529</v>
      </c>
      <c r="E33" s="2" t="s">
        <v>464</v>
      </c>
      <c r="F33" s="2" t="s">
        <v>361</v>
      </c>
      <c r="G33" s="2" t="s">
        <v>545</v>
      </c>
      <c r="H33" s="2" t="s">
        <v>546</v>
      </c>
      <c r="I33" s="2" t="s">
        <v>30</v>
      </c>
      <c r="J33" s="2" t="s">
        <v>297</v>
      </c>
      <c r="K33" s="2" t="s">
        <v>547</v>
      </c>
      <c r="L33" s="2" t="s">
        <v>548</v>
      </c>
      <c r="M33" s="2" t="s">
        <v>549</v>
      </c>
      <c r="N33" s="2" t="s">
        <v>550</v>
      </c>
      <c r="O33" s="2" t="s">
        <v>551</v>
      </c>
      <c r="P33" s="2" t="s">
        <v>552</v>
      </c>
      <c r="Q33" s="2" t="s">
        <v>553</v>
      </c>
      <c r="R33" s="2" t="s">
        <v>554</v>
      </c>
      <c r="S33" s="2" t="s">
        <v>555</v>
      </c>
      <c r="T33" s="2" t="s">
        <v>556</v>
      </c>
      <c r="U33" s="2" t="s">
        <v>557</v>
      </c>
      <c r="V33" s="2" t="s">
        <v>291</v>
      </c>
      <c r="W33" s="2" t="s">
        <v>558</v>
      </c>
    </row>
    <row r="34" spans="1:23" ht="68.099999999999994" customHeight="1">
      <c r="A34" s="2" t="s">
        <v>527</v>
      </c>
      <c r="B34" s="2">
        <v>33</v>
      </c>
      <c r="C34" s="2" t="s">
        <v>559</v>
      </c>
      <c r="D34" s="2" t="s">
        <v>560</v>
      </c>
      <c r="E34" s="2" t="s">
        <v>26</v>
      </c>
      <c r="F34" s="2" t="s">
        <v>361</v>
      </c>
      <c r="G34" s="2" t="s">
        <v>561</v>
      </c>
      <c r="H34" s="2" t="s">
        <v>562</v>
      </c>
      <c r="I34" s="2" t="s">
        <v>197</v>
      </c>
      <c r="J34" s="2" t="s">
        <v>297</v>
      </c>
      <c r="K34" s="2" t="s">
        <v>563</v>
      </c>
      <c r="L34" s="2" t="s">
        <v>564</v>
      </c>
      <c r="M34" s="2" t="s">
        <v>565</v>
      </c>
      <c r="N34" s="2" t="s">
        <v>566</v>
      </c>
      <c r="O34" s="2" t="s">
        <v>567</v>
      </c>
      <c r="P34" s="2" t="s">
        <v>568</v>
      </c>
      <c r="Q34" s="2" t="s">
        <v>569</v>
      </c>
      <c r="R34" s="2" t="s">
        <v>570</v>
      </c>
      <c r="S34" s="2" t="s">
        <v>571</v>
      </c>
      <c r="T34" s="2" t="s">
        <v>572</v>
      </c>
      <c r="U34" s="2" t="s">
        <v>573</v>
      </c>
      <c r="V34" s="2" t="s">
        <v>291</v>
      </c>
      <c r="W34" s="2" t="s">
        <v>574</v>
      </c>
    </row>
    <row r="35" spans="1:23" ht="68.099999999999994" customHeight="1">
      <c r="A35" s="2" t="s">
        <v>527</v>
      </c>
      <c r="B35" s="2">
        <v>34</v>
      </c>
      <c r="C35" s="2" t="s">
        <v>575</v>
      </c>
      <c r="D35" s="2" t="s">
        <v>560</v>
      </c>
      <c r="E35" s="2" t="s">
        <v>26</v>
      </c>
      <c r="F35" s="2" t="s">
        <v>361</v>
      </c>
      <c r="G35" s="2" t="s">
        <v>576</v>
      </c>
      <c r="H35" s="2" t="s">
        <v>577</v>
      </c>
      <c r="I35" s="2" t="s">
        <v>197</v>
      </c>
      <c r="J35" s="2" t="s">
        <v>297</v>
      </c>
      <c r="K35" s="2" t="s">
        <v>578</v>
      </c>
      <c r="L35" s="2" t="s">
        <v>579</v>
      </c>
      <c r="M35" s="2" t="s">
        <v>580</v>
      </c>
      <c r="N35" s="2" t="s">
        <v>581</v>
      </c>
      <c r="O35" s="2" t="s">
        <v>582</v>
      </c>
      <c r="P35" s="2" t="s">
        <v>386</v>
      </c>
      <c r="Q35" s="2" t="s">
        <v>583</v>
      </c>
      <c r="R35" s="2" t="s">
        <v>584</v>
      </c>
      <c r="S35" s="2" t="s">
        <v>585</v>
      </c>
      <c r="T35" s="2" t="s">
        <v>586</v>
      </c>
      <c r="U35" s="2" t="s">
        <v>587</v>
      </c>
      <c r="V35" s="2" t="s">
        <v>291</v>
      </c>
      <c r="W35" s="2" t="s">
        <v>588</v>
      </c>
    </row>
    <row r="36" spans="1:23" ht="68.099999999999994" customHeight="1">
      <c r="A36" s="2" t="s">
        <v>527</v>
      </c>
      <c r="B36" s="2">
        <v>35</v>
      </c>
      <c r="C36" s="2" t="s">
        <v>589</v>
      </c>
      <c r="D36" s="2" t="s">
        <v>560</v>
      </c>
      <c r="E36" s="2" t="s">
        <v>26</v>
      </c>
      <c r="F36" s="2" t="s">
        <v>361</v>
      </c>
      <c r="G36" s="2" t="s">
        <v>590</v>
      </c>
      <c r="H36" s="2" t="s">
        <v>591</v>
      </c>
      <c r="I36" s="2" t="s">
        <v>197</v>
      </c>
      <c r="J36" s="2" t="s">
        <v>297</v>
      </c>
      <c r="K36" s="2" t="s">
        <v>592</v>
      </c>
      <c r="L36" s="2" t="s">
        <v>593</v>
      </c>
      <c r="M36" s="2" t="s">
        <v>594</v>
      </c>
      <c r="N36" s="2" t="s">
        <v>595</v>
      </c>
      <c r="O36" s="2" t="s">
        <v>596</v>
      </c>
      <c r="P36" s="2" t="s">
        <v>597</v>
      </c>
      <c r="Q36" s="2" t="s">
        <v>598</v>
      </c>
      <c r="R36" s="2" t="s">
        <v>599</v>
      </c>
      <c r="S36" s="2" t="s">
        <v>600</v>
      </c>
      <c r="T36" s="2" t="s">
        <v>601</v>
      </c>
      <c r="U36" s="2" t="s">
        <v>602</v>
      </c>
      <c r="V36" s="2" t="s">
        <v>291</v>
      </c>
      <c r="W36" s="2" t="s">
        <v>603</v>
      </c>
    </row>
    <row r="37" spans="1:23" ht="68.099999999999994" customHeight="1">
      <c r="A37" s="2" t="s">
        <v>604</v>
      </c>
      <c r="B37" s="2">
        <v>36</v>
      </c>
      <c r="C37" s="2" t="s">
        <v>605</v>
      </c>
      <c r="D37" s="2" t="s">
        <v>606</v>
      </c>
      <c r="E37" s="2" t="s">
        <v>607</v>
      </c>
      <c r="F37" s="2" t="s">
        <v>361</v>
      </c>
      <c r="G37" s="2" t="s">
        <v>608</v>
      </c>
      <c r="H37" s="2" t="s">
        <v>609</v>
      </c>
      <c r="I37" s="2" t="s">
        <v>610</v>
      </c>
      <c r="J37" s="2" t="s">
        <v>198</v>
      </c>
      <c r="K37" s="2" t="s">
        <v>611</v>
      </c>
      <c r="L37" s="2" t="s">
        <v>612</v>
      </c>
      <c r="M37" s="2" t="s">
        <v>613</v>
      </c>
      <c r="N37" s="2" t="s">
        <v>614</v>
      </c>
      <c r="O37" s="2" t="s">
        <v>615</v>
      </c>
      <c r="P37" s="2" t="s">
        <v>616</v>
      </c>
      <c r="Q37" s="2" t="s">
        <v>420</v>
      </c>
      <c r="R37" s="2" t="s">
        <v>421</v>
      </c>
      <c r="S37" s="2" t="s">
        <v>617</v>
      </c>
      <c r="T37" s="2" t="s">
        <v>618</v>
      </c>
      <c r="U37" s="2" t="s">
        <v>619</v>
      </c>
      <c r="V37" s="2" t="s">
        <v>210</v>
      </c>
      <c r="W37" s="2" t="s">
        <v>620</v>
      </c>
    </row>
    <row r="38" spans="1:23" ht="68.099999999999994" customHeight="1">
      <c r="A38" s="2" t="s">
        <v>604</v>
      </c>
      <c r="B38" s="2">
        <v>37</v>
      </c>
      <c r="C38" s="2" t="s">
        <v>621</v>
      </c>
      <c r="D38" s="2" t="s">
        <v>622</v>
      </c>
      <c r="E38" s="2" t="s">
        <v>26</v>
      </c>
      <c r="F38" s="2" t="s">
        <v>361</v>
      </c>
      <c r="G38" s="2" t="s">
        <v>623</v>
      </c>
      <c r="H38" s="2" t="s">
        <v>624</v>
      </c>
      <c r="I38" s="2" t="s">
        <v>30</v>
      </c>
      <c r="J38" s="2" t="s">
        <v>198</v>
      </c>
      <c r="K38" s="2" t="s">
        <v>625</v>
      </c>
      <c r="L38" s="2" t="s">
        <v>626</v>
      </c>
      <c r="M38" s="2" t="s">
        <v>627</v>
      </c>
      <c r="N38" s="2" t="s">
        <v>628</v>
      </c>
      <c r="O38" s="2" t="s">
        <v>629</v>
      </c>
      <c r="P38" s="2" t="s">
        <v>630</v>
      </c>
      <c r="Q38" s="2" t="s">
        <v>631</v>
      </c>
      <c r="R38" s="2" t="s">
        <v>632</v>
      </c>
      <c r="S38" s="2" t="s">
        <v>633</v>
      </c>
      <c r="T38" s="2" t="s">
        <v>634</v>
      </c>
      <c r="U38" s="2" t="s">
        <v>635</v>
      </c>
      <c r="V38" s="2" t="s">
        <v>210</v>
      </c>
      <c r="W38" s="2" t="s">
        <v>636</v>
      </c>
    </row>
    <row r="39" spans="1:23" ht="68.099999999999994" customHeight="1">
      <c r="A39" s="2" t="s">
        <v>604</v>
      </c>
      <c r="B39" s="2">
        <v>38</v>
      </c>
      <c r="C39" s="2" t="s">
        <v>637</v>
      </c>
      <c r="D39" s="2" t="s">
        <v>638</v>
      </c>
      <c r="E39" s="2" t="s">
        <v>26</v>
      </c>
      <c r="F39" s="2" t="s">
        <v>361</v>
      </c>
      <c r="G39" s="2" t="s">
        <v>639</v>
      </c>
      <c r="H39" s="2" t="s">
        <v>640</v>
      </c>
      <c r="I39" s="2" t="s">
        <v>30</v>
      </c>
      <c r="J39" s="2" t="s">
        <v>198</v>
      </c>
      <c r="K39" s="2" t="s">
        <v>641</v>
      </c>
      <c r="L39" s="2" t="s">
        <v>642</v>
      </c>
      <c r="M39" s="2" t="s">
        <v>643</v>
      </c>
      <c r="N39" s="2" t="s">
        <v>644</v>
      </c>
      <c r="O39" s="2" t="s">
        <v>645</v>
      </c>
      <c r="P39" s="2" t="s">
        <v>646</v>
      </c>
      <c r="Q39" s="2" t="s">
        <v>647</v>
      </c>
      <c r="R39" s="2" t="s">
        <v>648</v>
      </c>
      <c r="S39" s="2" t="s">
        <v>649</v>
      </c>
      <c r="T39" s="2" t="s">
        <v>650</v>
      </c>
      <c r="U39" s="2" t="s">
        <v>651</v>
      </c>
      <c r="V39" s="2" t="s">
        <v>210</v>
      </c>
      <c r="W39" s="2" t="s">
        <v>652</v>
      </c>
    </row>
    <row r="40" spans="1:23" ht="68.099999999999994" customHeight="1">
      <c r="A40" s="2" t="s">
        <v>604</v>
      </c>
      <c r="B40" s="2">
        <v>39</v>
      </c>
      <c r="C40" s="2" t="s">
        <v>653</v>
      </c>
      <c r="D40" s="2" t="s">
        <v>653</v>
      </c>
      <c r="E40" s="2" t="s">
        <v>26</v>
      </c>
      <c r="F40" s="2" t="s">
        <v>361</v>
      </c>
      <c r="G40" s="2" t="s">
        <v>654</v>
      </c>
      <c r="H40" s="2" t="s">
        <v>655</v>
      </c>
      <c r="I40" s="2" t="s">
        <v>30</v>
      </c>
      <c r="J40" s="2" t="s">
        <v>297</v>
      </c>
      <c r="K40" s="2" t="s">
        <v>656</v>
      </c>
      <c r="L40" s="2" t="s">
        <v>657</v>
      </c>
      <c r="M40" s="2" t="s">
        <v>658</v>
      </c>
      <c r="N40" s="2" t="s">
        <v>659</v>
      </c>
      <c r="O40" s="2" t="s">
        <v>660</v>
      </c>
      <c r="P40" s="2" t="s">
        <v>661</v>
      </c>
      <c r="Q40" s="2" t="s">
        <v>662</v>
      </c>
      <c r="R40" s="2" t="s">
        <v>663</v>
      </c>
      <c r="S40" s="2" t="s">
        <v>664</v>
      </c>
      <c r="T40" s="2" t="s">
        <v>665</v>
      </c>
      <c r="U40" s="2" t="s">
        <v>666</v>
      </c>
      <c r="V40" s="2" t="s">
        <v>291</v>
      </c>
      <c r="W40" s="2" t="s">
        <v>667</v>
      </c>
    </row>
    <row r="41" spans="1:23" ht="68.099999999999994" customHeight="1">
      <c r="A41" s="2" t="s">
        <v>604</v>
      </c>
      <c r="B41" s="2">
        <v>40</v>
      </c>
      <c r="C41" s="2" t="s">
        <v>668</v>
      </c>
      <c r="D41" s="2" t="s">
        <v>669</v>
      </c>
      <c r="E41" s="2" t="s">
        <v>670</v>
      </c>
      <c r="F41" s="2" t="s">
        <v>361</v>
      </c>
      <c r="G41" s="2" t="s">
        <v>671</v>
      </c>
      <c r="H41" s="2" t="s">
        <v>672</v>
      </c>
      <c r="I41" s="2" t="s">
        <v>279</v>
      </c>
      <c r="J41" s="2" t="s">
        <v>673</v>
      </c>
      <c r="K41" s="2" t="s">
        <v>674</v>
      </c>
      <c r="L41" s="2" t="s">
        <v>675</v>
      </c>
      <c r="M41" s="2" t="s">
        <v>217</v>
      </c>
      <c r="N41" s="2" t="s">
        <v>676</v>
      </c>
      <c r="O41" s="2" t="s">
        <v>677</v>
      </c>
      <c r="P41" s="2" t="s">
        <v>678</v>
      </c>
      <c r="Q41" s="2" t="s">
        <v>679</v>
      </c>
      <c r="R41" s="2" t="s">
        <v>680</v>
      </c>
      <c r="S41" s="2" t="s">
        <v>681</v>
      </c>
      <c r="T41" s="2" t="s">
        <v>682</v>
      </c>
      <c r="U41" s="2" t="s">
        <v>683</v>
      </c>
      <c r="V41" s="2" t="s">
        <v>684</v>
      </c>
      <c r="W41" s="2" t="s">
        <v>685</v>
      </c>
    </row>
    <row r="42" spans="1:23" ht="68.099999999999994" customHeight="1">
      <c r="A42" s="2" t="s">
        <v>686</v>
      </c>
      <c r="B42" s="2">
        <v>41</v>
      </c>
      <c r="C42" s="2" t="s">
        <v>687</v>
      </c>
      <c r="D42" s="2" t="s">
        <v>688</v>
      </c>
      <c r="E42" s="2" t="s">
        <v>26</v>
      </c>
      <c r="F42" s="2" t="s">
        <v>361</v>
      </c>
      <c r="G42" s="2" t="s">
        <v>689</v>
      </c>
      <c r="H42" s="2" t="s">
        <v>690</v>
      </c>
      <c r="I42" s="2" t="s">
        <v>279</v>
      </c>
      <c r="J42" s="2" t="s">
        <v>198</v>
      </c>
      <c r="K42" s="2" t="s">
        <v>691</v>
      </c>
      <c r="L42" s="2" t="s">
        <v>692</v>
      </c>
      <c r="M42" s="2" t="s">
        <v>316</v>
      </c>
      <c r="N42" s="2" t="s">
        <v>693</v>
      </c>
      <c r="O42" s="2" t="s">
        <v>694</v>
      </c>
      <c r="P42" s="2" t="s">
        <v>695</v>
      </c>
      <c r="Q42" s="2" t="s">
        <v>696</v>
      </c>
      <c r="R42" s="2" t="s">
        <v>321</v>
      </c>
      <c r="S42" s="2" t="s">
        <v>697</v>
      </c>
      <c r="T42" s="2" t="s">
        <v>698</v>
      </c>
      <c r="U42" s="2" t="s">
        <v>699</v>
      </c>
      <c r="V42" s="2" t="s">
        <v>210</v>
      </c>
      <c r="W42" s="2" t="s">
        <v>700</v>
      </c>
    </row>
    <row r="43" spans="1:23" ht="68.099999999999994" customHeight="1">
      <c r="A43" s="2" t="s">
        <v>686</v>
      </c>
      <c r="B43" s="2">
        <v>42</v>
      </c>
      <c r="C43" s="2" t="s">
        <v>701</v>
      </c>
      <c r="D43" s="2" t="s">
        <v>702</v>
      </c>
      <c r="E43" s="2" t="s">
        <v>26</v>
      </c>
      <c r="F43" s="2" t="s">
        <v>361</v>
      </c>
      <c r="G43" s="2" t="s">
        <v>703</v>
      </c>
      <c r="H43" s="2" t="s">
        <v>704</v>
      </c>
      <c r="I43" s="2" t="s">
        <v>279</v>
      </c>
      <c r="J43" s="2" t="s">
        <v>198</v>
      </c>
      <c r="K43" s="2" t="s">
        <v>705</v>
      </c>
      <c r="L43" s="2" t="s">
        <v>706</v>
      </c>
      <c r="M43" s="2" t="s">
        <v>707</v>
      </c>
      <c r="N43" s="2" t="s">
        <v>708</v>
      </c>
      <c r="O43" s="2" t="s">
        <v>709</v>
      </c>
      <c r="P43" s="2" t="s">
        <v>710</v>
      </c>
      <c r="Q43" s="2" t="s">
        <v>711</v>
      </c>
      <c r="R43" s="2" t="s">
        <v>712</v>
      </c>
      <c r="S43" s="2" t="s">
        <v>713</v>
      </c>
      <c r="T43" s="2" t="s">
        <v>714</v>
      </c>
      <c r="U43" s="2" t="s">
        <v>715</v>
      </c>
      <c r="V43" s="2" t="s">
        <v>210</v>
      </c>
      <c r="W43" s="2" t="s">
        <v>716</v>
      </c>
    </row>
    <row r="44" spans="1:23" ht="68.099999999999994" customHeight="1">
      <c r="A44" s="2" t="s">
        <v>686</v>
      </c>
      <c r="B44" s="2">
        <v>43</v>
      </c>
      <c r="C44" s="2" t="s">
        <v>717</v>
      </c>
      <c r="D44" s="2" t="s">
        <v>718</v>
      </c>
      <c r="E44" s="2" t="s">
        <v>26</v>
      </c>
      <c r="F44" s="2" t="s">
        <v>361</v>
      </c>
      <c r="G44" s="2" t="s">
        <v>719</v>
      </c>
      <c r="H44" s="2" t="s">
        <v>720</v>
      </c>
      <c r="I44" s="2" t="s">
        <v>279</v>
      </c>
      <c r="J44" s="2" t="s">
        <v>198</v>
      </c>
      <c r="K44" s="2" t="s">
        <v>721</v>
      </c>
      <c r="L44" s="2" t="s">
        <v>722</v>
      </c>
      <c r="M44" s="2" t="s">
        <v>723</v>
      </c>
      <c r="N44" s="2" t="s">
        <v>724</v>
      </c>
      <c r="O44" s="2" t="s">
        <v>725</v>
      </c>
      <c r="P44" s="2" t="s">
        <v>726</v>
      </c>
      <c r="Q44" s="2" t="s">
        <v>727</v>
      </c>
      <c r="R44" s="2" t="s">
        <v>728</v>
      </c>
      <c r="S44" s="2" t="s">
        <v>729</v>
      </c>
      <c r="T44" s="2" t="s">
        <v>730</v>
      </c>
      <c r="U44" s="2" t="s">
        <v>731</v>
      </c>
      <c r="V44" s="2" t="s">
        <v>291</v>
      </c>
      <c r="W44" s="2" t="s">
        <v>732</v>
      </c>
    </row>
    <row r="45" spans="1:23" ht="68.099999999999994" customHeight="1">
      <c r="A45" s="2" t="s">
        <v>686</v>
      </c>
      <c r="B45" s="2">
        <v>44</v>
      </c>
      <c r="C45" s="2" t="s">
        <v>733</v>
      </c>
      <c r="D45" s="2" t="s">
        <v>734</v>
      </c>
      <c r="E45" s="2" t="s">
        <v>464</v>
      </c>
      <c r="F45" s="2" t="s">
        <v>361</v>
      </c>
      <c r="G45" s="2" t="s">
        <v>735</v>
      </c>
      <c r="H45" s="2" t="s">
        <v>736</v>
      </c>
      <c r="I45" s="2" t="s">
        <v>197</v>
      </c>
      <c r="J45" s="2" t="s">
        <v>297</v>
      </c>
      <c r="K45" s="2" t="s">
        <v>737</v>
      </c>
      <c r="L45" s="2" t="s">
        <v>738</v>
      </c>
      <c r="M45" s="2" t="s">
        <v>739</v>
      </c>
      <c r="N45" s="2" t="s">
        <v>740</v>
      </c>
      <c r="O45" s="2" t="s">
        <v>741</v>
      </c>
      <c r="P45" s="2" t="s">
        <v>742</v>
      </c>
      <c r="Q45" s="2" t="s">
        <v>743</v>
      </c>
      <c r="R45" s="2" t="s">
        <v>744</v>
      </c>
      <c r="S45" s="2" t="s">
        <v>745</v>
      </c>
      <c r="T45" s="2" t="s">
        <v>746</v>
      </c>
      <c r="U45" s="2" t="s">
        <v>747</v>
      </c>
      <c r="V45" s="2" t="s">
        <v>291</v>
      </c>
      <c r="W45" s="2" t="s">
        <v>748</v>
      </c>
    </row>
    <row r="46" spans="1:23" ht="68.099999999999994" customHeight="1">
      <c r="A46" s="2" t="s">
        <v>686</v>
      </c>
      <c r="B46" s="2">
        <v>45</v>
      </c>
      <c r="C46" s="2" t="s">
        <v>749</v>
      </c>
      <c r="D46" s="2" t="s">
        <v>294</v>
      </c>
      <c r="E46" s="2" t="s">
        <v>26</v>
      </c>
      <c r="F46" s="2" t="s">
        <v>361</v>
      </c>
      <c r="G46" s="2" t="s">
        <v>750</v>
      </c>
      <c r="H46" s="2" t="s">
        <v>751</v>
      </c>
      <c r="I46" s="2" t="s">
        <v>279</v>
      </c>
      <c r="J46" s="2" t="s">
        <v>297</v>
      </c>
      <c r="K46" s="2" t="s">
        <v>752</v>
      </c>
      <c r="L46" s="2" t="s">
        <v>753</v>
      </c>
      <c r="M46" s="2" t="s">
        <v>754</v>
      </c>
      <c r="N46" s="2" t="s">
        <v>755</v>
      </c>
      <c r="O46" s="2" t="s">
        <v>756</v>
      </c>
      <c r="P46" s="2" t="s">
        <v>757</v>
      </c>
      <c r="Q46" s="2" t="s">
        <v>758</v>
      </c>
      <c r="R46" s="2" t="s">
        <v>759</v>
      </c>
      <c r="S46" s="2" t="s">
        <v>760</v>
      </c>
      <c r="T46" s="2" t="s">
        <v>761</v>
      </c>
      <c r="U46" s="2" t="s">
        <v>762</v>
      </c>
      <c r="V46" s="2" t="s">
        <v>291</v>
      </c>
      <c r="W46" s="2" t="s">
        <v>763</v>
      </c>
    </row>
    <row r="47" spans="1:23" ht="68.099999999999994" customHeight="1">
      <c r="A47" s="2" t="s">
        <v>764</v>
      </c>
      <c r="B47" s="2">
        <v>46</v>
      </c>
      <c r="C47" s="2" t="s">
        <v>765</v>
      </c>
      <c r="D47" s="2" t="s">
        <v>766</v>
      </c>
      <c r="E47" s="2" t="s">
        <v>26</v>
      </c>
      <c r="F47" s="2" t="s">
        <v>361</v>
      </c>
      <c r="G47" s="2" t="s">
        <v>767</v>
      </c>
      <c r="H47" s="2" t="s">
        <v>768</v>
      </c>
      <c r="I47" s="2" t="s">
        <v>279</v>
      </c>
      <c r="J47" s="2" t="s">
        <v>198</v>
      </c>
      <c r="K47" s="2" t="s">
        <v>769</v>
      </c>
      <c r="L47" s="2" t="s">
        <v>770</v>
      </c>
      <c r="M47" s="2" t="s">
        <v>771</v>
      </c>
      <c r="N47" s="2" t="s">
        <v>772</v>
      </c>
      <c r="O47" s="2" t="s">
        <v>773</v>
      </c>
      <c r="P47" s="2" t="s">
        <v>774</v>
      </c>
      <c r="Q47" s="2" t="s">
        <v>775</v>
      </c>
      <c r="R47" s="2" t="s">
        <v>776</v>
      </c>
      <c r="S47" s="2" t="s">
        <v>777</v>
      </c>
      <c r="T47" s="2" t="s">
        <v>778</v>
      </c>
      <c r="U47" s="2" t="s">
        <v>779</v>
      </c>
      <c r="V47" s="2" t="s">
        <v>291</v>
      </c>
      <c r="W47" s="2" t="s">
        <v>780</v>
      </c>
    </row>
    <row r="48" spans="1:23" ht="68.099999999999994" customHeight="1">
      <c r="A48" s="2" t="s">
        <v>764</v>
      </c>
      <c r="B48" s="2">
        <v>47</v>
      </c>
      <c r="C48" s="2" t="s">
        <v>781</v>
      </c>
      <c r="D48" s="2" t="s">
        <v>782</v>
      </c>
      <c r="E48" s="2" t="s">
        <v>464</v>
      </c>
      <c r="F48" s="2" t="s">
        <v>361</v>
      </c>
      <c r="G48" s="2" t="s">
        <v>783</v>
      </c>
      <c r="H48" s="2" t="s">
        <v>784</v>
      </c>
      <c r="I48" s="2" t="s">
        <v>30</v>
      </c>
      <c r="J48" s="2" t="s">
        <v>297</v>
      </c>
      <c r="K48" s="2" t="s">
        <v>785</v>
      </c>
      <c r="L48" s="2" t="s">
        <v>786</v>
      </c>
      <c r="M48" s="2" t="s">
        <v>787</v>
      </c>
      <c r="N48" s="2" t="s">
        <v>788</v>
      </c>
      <c r="O48" s="2" t="s">
        <v>789</v>
      </c>
      <c r="P48" s="2" t="s">
        <v>790</v>
      </c>
      <c r="Q48" s="2" t="s">
        <v>791</v>
      </c>
      <c r="R48" s="2" t="s">
        <v>792</v>
      </c>
      <c r="S48" s="2" t="s">
        <v>793</v>
      </c>
      <c r="T48" s="2" t="s">
        <v>794</v>
      </c>
      <c r="U48" s="2" t="s">
        <v>795</v>
      </c>
      <c r="V48" s="2" t="s">
        <v>291</v>
      </c>
      <c r="W48" s="2" t="s">
        <v>796</v>
      </c>
    </row>
    <row r="49" spans="1:23" ht="68.099999999999994" customHeight="1">
      <c r="A49" s="2" t="s">
        <v>764</v>
      </c>
      <c r="B49" s="2">
        <v>48</v>
      </c>
      <c r="C49" s="2" t="s">
        <v>797</v>
      </c>
      <c r="D49" s="2" t="s">
        <v>798</v>
      </c>
      <c r="E49" s="2" t="s">
        <v>26</v>
      </c>
      <c r="F49" s="2" t="s">
        <v>361</v>
      </c>
      <c r="G49" s="2" t="s">
        <v>799</v>
      </c>
      <c r="H49" s="2" t="s">
        <v>800</v>
      </c>
      <c r="I49" s="2" t="s">
        <v>801</v>
      </c>
      <c r="J49" s="2" t="s">
        <v>198</v>
      </c>
      <c r="K49" s="2" t="s">
        <v>802</v>
      </c>
      <c r="L49" s="2" t="s">
        <v>803</v>
      </c>
      <c r="M49" s="2" t="s">
        <v>804</v>
      </c>
      <c r="N49" s="2" t="s">
        <v>805</v>
      </c>
      <c r="O49" s="2" t="s">
        <v>806</v>
      </c>
      <c r="P49" s="2" t="s">
        <v>807</v>
      </c>
      <c r="Q49" s="2" t="s">
        <v>808</v>
      </c>
      <c r="R49" s="2" t="s">
        <v>809</v>
      </c>
      <c r="S49" s="2" t="s">
        <v>810</v>
      </c>
      <c r="T49" s="2" t="s">
        <v>355</v>
      </c>
      <c r="U49" s="2" t="s">
        <v>811</v>
      </c>
      <c r="V49" s="2" t="s">
        <v>210</v>
      </c>
      <c r="W49" s="2" t="s">
        <v>812</v>
      </c>
    </row>
    <row r="50" spans="1:23" ht="68.099999999999994" customHeight="1">
      <c r="A50" s="2" t="s">
        <v>764</v>
      </c>
      <c r="B50" s="2">
        <v>49</v>
      </c>
      <c r="C50" s="2" t="s">
        <v>813</v>
      </c>
      <c r="D50" s="2" t="s">
        <v>294</v>
      </c>
      <c r="E50" s="2" t="s">
        <v>26</v>
      </c>
      <c r="F50" s="2" t="s">
        <v>361</v>
      </c>
      <c r="G50" s="2" t="s">
        <v>814</v>
      </c>
      <c r="H50" s="2" t="s">
        <v>815</v>
      </c>
      <c r="I50" s="2" t="s">
        <v>279</v>
      </c>
      <c r="J50" s="2" t="s">
        <v>297</v>
      </c>
      <c r="K50" s="2" t="s">
        <v>816</v>
      </c>
      <c r="L50" s="2" t="s">
        <v>817</v>
      </c>
      <c r="M50" s="2" t="s">
        <v>818</v>
      </c>
      <c r="N50" s="2" t="s">
        <v>819</v>
      </c>
      <c r="O50" s="2" t="s">
        <v>820</v>
      </c>
      <c r="P50" s="2" t="s">
        <v>821</v>
      </c>
      <c r="Q50" s="2" t="s">
        <v>822</v>
      </c>
      <c r="R50" s="2" t="s">
        <v>599</v>
      </c>
      <c r="S50" s="2" t="s">
        <v>600</v>
      </c>
      <c r="T50" s="2" t="s">
        <v>823</v>
      </c>
      <c r="U50" s="2" t="s">
        <v>824</v>
      </c>
      <c r="V50" s="2" t="s">
        <v>291</v>
      </c>
      <c r="W50" s="2" t="s">
        <v>825</v>
      </c>
    </row>
    <row r="51" spans="1:23" ht="68.099999999999994" customHeight="1">
      <c r="A51" s="2" t="s">
        <v>764</v>
      </c>
      <c r="B51" s="2">
        <v>50</v>
      </c>
      <c r="C51" s="2" t="s">
        <v>826</v>
      </c>
      <c r="D51" s="2" t="s">
        <v>827</v>
      </c>
      <c r="E51" s="2" t="s">
        <v>26</v>
      </c>
      <c r="F51" s="2" t="s">
        <v>361</v>
      </c>
      <c r="G51" s="2" t="s">
        <v>828</v>
      </c>
      <c r="H51" s="2" t="s">
        <v>829</v>
      </c>
      <c r="I51" s="2" t="s">
        <v>30</v>
      </c>
      <c r="J51" s="2" t="s">
        <v>198</v>
      </c>
      <c r="K51" s="2" t="s">
        <v>830</v>
      </c>
      <c r="L51" s="2" t="s">
        <v>831</v>
      </c>
      <c r="M51" s="2" t="s">
        <v>832</v>
      </c>
      <c r="N51" s="2" t="s">
        <v>833</v>
      </c>
      <c r="O51" s="2" t="s">
        <v>834</v>
      </c>
      <c r="P51" s="2" t="s">
        <v>835</v>
      </c>
      <c r="Q51" s="2" t="s">
        <v>836</v>
      </c>
      <c r="R51" s="2" t="s">
        <v>837</v>
      </c>
      <c r="S51" s="2" t="s">
        <v>838</v>
      </c>
      <c r="T51" s="2" t="s">
        <v>839</v>
      </c>
      <c r="U51" s="2" t="s">
        <v>840</v>
      </c>
      <c r="V51" s="2" t="s">
        <v>210</v>
      </c>
      <c r="W51" s="2" t="s">
        <v>841</v>
      </c>
    </row>
    <row r="52" spans="1:23" ht="68.099999999999994" customHeight="1">
      <c r="A52" s="2" t="s">
        <v>842</v>
      </c>
      <c r="B52" s="2">
        <v>51</v>
      </c>
      <c r="C52" s="2" t="s">
        <v>843</v>
      </c>
      <c r="D52" s="2" t="s">
        <v>496</v>
      </c>
      <c r="E52" s="2" t="s">
        <v>844</v>
      </c>
      <c r="F52" s="2" t="s">
        <v>361</v>
      </c>
      <c r="G52" s="2" t="s">
        <v>845</v>
      </c>
      <c r="H52" s="2" t="s">
        <v>846</v>
      </c>
      <c r="I52" s="2" t="s">
        <v>499</v>
      </c>
      <c r="J52" s="2" t="s">
        <v>847</v>
      </c>
      <c r="K52" s="2" t="s">
        <v>848</v>
      </c>
      <c r="L52" s="2" t="s">
        <v>849</v>
      </c>
      <c r="M52" s="2" t="s">
        <v>850</v>
      </c>
      <c r="N52" s="2" t="s">
        <v>851</v>
      </c>
      <c r="O52" s="2" t="s">
        <v>852</v>
      </c>
      <c r="P52" s="2" t="s">
        <v>853</v>
      </c>
      <c r="Q52" s="2" t="s">
        <v>854</v>
      </c>
      <c r="R52" s="2" t="s">
        <v>855</v>
      </c>
      <c r="S52" s="2" t="s">
        <v>856</v>
      </c>
      <c r="T52" s="2" t="s">
        <v>857</v>
      </c>
      <c r="U52" s="2" t="s">
        <v>858</v>
      </c>
      <c r="V52" s="2" t="s">
        <v>842</v>
      </c>
      <c r="W52" s="2" t="s">
        <v>859</v>
      </c>
    </row>
    <row r="53" spans="1:23" ht="68.099999999999994" customHeight="1">
      <c r="A53" s="2" t="s">
        <v>842</v>
      </c>
      <c r="B53" s="2">
        <v>52</v>
      </c>
      <c r="C53" s="2" t="s">
        <v>860</v>
      </c>
      <c r="D53" s="2" t="s">
        <v>861</v>
      </c>
      <c r="E53" s="2" t="s">
        <v>862</v>
      </c>
      <c r="F53" s="2" t="s">
        <v>361</v>
      </c>
      <c r="G53" s="2" t="s">
        <v>863</v>
      </c>
      <c r="H53" s="2" t="s">
        <v>864</v>
      </c>
      <c r="I53" s="2" t="s">
        <v>197</v>
      </c>
      <c r="J53" s="2" t="s">
        <v>865</v>
      </c>
      <c r="K53" s="2" t="s">
        <v>866</v>
      </c>
      <c r="L53" s="2" t="s">
        <v>867</v>
      </c>
      <c r="M53" s="2" t="s">
        <v>868</v>
      </c>
      <c r="N53" s="2" t="s">
        <v>869</v>
      </c>
      <c r="O53" s="2" t="s">
        <v>870</v>
      </c>
      <c r="P53" s="2" t="s">
        <v>871</v>
      </c>
      <c r="Q53" s="2" t="s">
        <v>872</v>
      </c>
      <c r="R53" s="2" t="s">
        <v>873</v>
      </c>
      <c r="S53" s="2" t="s">
        <v>874</v>
      </c>
      <c r="T53" s="2" t="s">
        <v>875</v>
      </c>
      <c r="U53" s="2" t="s">
        <v>876</v>
      </c>
      <c r="V53" s="2" t="s">
        <v>842</v>
      </c>
      <c r="W53" s="2" t="s">
        <v>877</v>
      </c>
    </row>
    <row r="54" spans="1:23" ht="68.099999999999994" customHeight="1">
      <c r="A54" s="2" t="s">
        <v>842</v>
      </c>
      <c r="B54" s="2">
        <v>53</v>
      </c>
      <c r="C54" s="2" t="s">
        <v>878</v>
      </c>
      <c r="D54" s="2" t="s">
        <v>879</v>
      </c>
      <c r="E54" s="2" t="s">
        <v>670</v>
      </c>
      <c r="F54" s="2" t="s">
        <v>361</v>
      </c>
      <c r="G54" s="2" t="s">
        <v>880</v>
      </c>
      <c r="H54" s="2" t="s">
        <v>881</v>
      </c>
      <c r="I54" s="2" t="s">
        <v>197</v>
      </c>
      <c r="J54" s="2" t="s">
        <v>842</v>
      </c>
      <c r="K54" s="2" t="s">
        <v>882</v>
      </c>
      <c r="L54" s="2" t="s">
        <v>883</v>
      </c>
      <c r="M54" s="2" t="s">
        <v>884</v>
      </c>
      <c r="N54" s="2" t="s">
        <v>885</v>
      </c>
      <c r="O54" s="2" t="s">
        <v>886</v>
      </c>
      <c r="P54" s="2" t="s">
        <v>887</v>
      </c>
      <c r="Q54" s="2" t="s">
        <v>888</v>
      </c>
      <c r="R54" s="2" t="s">
        <v>305</v>
      </c>
      <c r="S54" s="2" t="s">
        <v>889</v>
      </c>
      <c r="T54" s="2" t="s">
        <v>890</v>
      </c>
      <c r="U54" s="2" t="s">
        <v>891</v>
      </c>
      <c r="V54" s="2" t="s">
        <v>892</v>
      </c>
      <c r="W54" s="2" t="s">
        <v>893</v>
      </c>
    </row>
    <row r="55" spans="1:23" ht="68.099999999999994" customHeight="1">
      <c r="A55" s="2" t="s">
        <v>842</v>
      </c>
      <c r="B55" s="2">
        <v>54</v>
      </c>
      <c r="C55" s="2" t="s">
        <v>894</v>
      </c>
      <c r="D55" s="2" t="s">
        <v>895</v>
      </c>
      <c r="E55" s="2" t="s">
        <v>670</v>
      </c>
      <c r="F55" s="2" t="s">
        <v>361</v>
      </c>
      <c r="G55" s="2" t="s">
        <v>896</v>
      </c>
      <c r="H55" s="2" t="s">
        <v>897</v>
      </c>
      <c r="I55" s="2" t="s">
        <v>197</v>
      </c>
      <c r="J55" s="2" t="s">
        <v>842</v>
      </c>
      <c r="K55" s="2" t="s">
        <v>898</v>
      </c>
      <c r="L55" s="2" t="s">
        <v>899</v>
      </c>
      <c r="M55" s="2" t="s">
        <v>900</v>
      </c>
      <c r="N55" s="2" t="s">
        <v>901</v>
      </c>
      <c r="O55" s="2" t="s">
        <v>902</v>
      </c>
      <c r="P55" s="2" t="s">
        <v>903</v>
      </c>
      <c r="Q55" s="2" t="s">
        <v>904</v>
      </c>
      <c r="R55" s="2" t="s">
        <v>905</v>
      </c>
      <c r="S55" s="2" t="s">
        <v>906</v>
      </c>
      <c r="T55" s="2" t="s">
        <v>907</v>
      </c>
      <c r="U55" s="2" t="s">
        <v>908</v>
      </c>
      <c r="V55" s="2" t="s">
        <v>892</v>
      </c>
      <c r="W55" s="2" t="s">
        <v>909</v>
      </c>
    </row>
    <row r="56" spans="1:23" ht="68.099999999999994" customHeight="1">
      <c r="A56" s="2" t="s">
        <v>842</v>
      </c>
      <c r="B56" s="2">
        <v>55</v>
      </c>
      <c r="C56" s="2" t="s">
        <v>910</v>
      </c>
      <c r="D56" s="2" t="s">
        <v>911</v>
      </c>
      <c r="E56" s="2" t="s">
        <v>464</v>
      </c>
      <c r="F56" s="2" t="s">
        <v>361</v>
      </c>
      <c r="G56" s="2" t="s">
        <v>912</v>
      </c>
      <c r="H56" s="2" t="s">
        <v>913</v>
      </c>
      <c r="I56" s="2" t="s">
        <v>197</v>
      </c>
      <c r="J56" s="2" t="s">
        <v>842</v>
      </c>
      <c r="K56" s="2" t="s">
        <v>914</v>
      </c>
      <c r="L56" s="2" t="s">
        <v>915</v>
      </c>
      <c r="M56" s="2" t="s">
        <v>916</v>
      </c>
      <c r="N56" s="2" t="s">
        <v>917</v>
      </c>
      <c r="O56" s="2" t="s">
        <v>918</v>
      </c>
      <c r="P56" s="2" t="s">
        <v>919</v>
      </c>
      <c r="Q56" s="2" t="s">
        <v>920</v>
      </c>
      <c r="R56" s="2" t="s">
        <v>921</v>
      </c>
      <c r="S56" s="2" t="s">
        <v>922</v>
      </c>
      <c r="T56" s="2" t="s">
        <v>923</v>
      </c>
      <c r="U56" s="2" t="s">
        <v>924</v>
      </c>
      <c r="V56" s="2" t="s">
        <v>842</v>
      </c>
      <c r="W56" s="2" t="s">
        <v>925</v>
      </c>
    </row>
    <row r="57" spans="1:23" ht="68.099999999999994" customHeight="1">
      <c r="A57" s="2" t="s">
        <v>842</v>
      </c>
      <c r="B57" s="2">
        <v>56</v>
      </c>
      <c r="C57" s="2" t="s">
        <v>926</v>
      </c>
      <c r="D57" s="2" t="s">
        <v>927</v>
      </c>
      <c r="E57" s="2" t="s">
        <v>464</v>
      </c>
      <c r="F57" s="2" t="s">
        <v>361</v>
      </c>
      <c r="G57" s="2" t="s">
        <v>928</v>
      </c>
      <c r="H57" s="2" t="s">
        <v>929</v>
      </c>
      <c r="I57" s="2" t="s">
        <v>30</v>
      </c>
      <c r="J57" s="2" t="s">
        <v>842</v>
      </c>
      <c r="K57" s="2" t="s">
        <v>930</v>
      </c>
      <c r="L57" s="2" t="s">
        <v>931</v>
      </c>
      <c r="M57" s="2" t="s">
        <v>932</v>
      </c>
      <c r="N57" s="2" t="s">
        <v>933</v>
      </c>
      <c r="O57" s="2" t="s">
        <v>934</v>
      </c>
      <c r="P57" s="2" t="s">
        <v>935</v>
      </c>
      <c r="Q57" s="2" t="s">
        <v>936</v>
      </c>
      <c r="R57" s="2" t="s">
        <v>937</v>
      </c>
      <c r="S57" s="2" t="s">
        <v>938</v>
      </c>
      <c r="T57" s="2" t="s">
        <v>939</v>
      </c>
      <c r="U57" s="2" t="s">
        <v>940</v>
      </c>
      <c r="V57" s="2" t="s">
        <v>842</v>
      </c>
      <c r="W57" s="2" t="s">
        <v>941</v>
      </c>
    </row>
    <row r="58" spans="1:23" ht="68.099999999999994" customHeight="1">
      <c r="A58" s="2" t="s">
        <v>842</v>
      </c>
      <c r="B58" s="2">
        <v>57</v>
      </c>
      <c r="C58" s="2" t="s">
        <v>942</v>
      </c>
      <c r="D58" s="2" t="s">
        <v>943</v>
      </c>
      <c r="E58" s="2" t="s">
        <v>26</v>
      </c>
      <c r="F58" s="2" t="s">
        <v>361</v>
      </c>
      <c r="G58" s="2" t="s">
        <v>944</v>
      </c>
      <c r="H58" s="2" t="s">
        <v>945</v>
      </c>
      <c r="I58" s="2" t="s">
        <v>279</v>
      </c>
      <c r="J58" s="2" t="s">
        <v>842</v>
      </c>
      <c r="K58" s="2" t="s">
        <v>946</v>
      </c>
      <c r="L58" s="2" t="s">
        <v>947</v>
      </c>
      <c r="M58" s="2" t="s">
        <v>948</v>
      </c>
      <c r="N58" s="2" t="s">
        <v>949</v>
      </c>
      <c r="O58" s="2" t="s">
        <v>950</v>
      </c>
      <c r="P58" s="2" t="s">
        <v>951</v>
      </c>
      <c r="Q58" s="2" t="s">
        <v>952</v>
      </c>
      <c r="R58" s="2" t="s">
        <v>953</v>
      </c>
      <c r="S58" s="2" t="s">
        <v>954</v>
      </c>
      <c r="T58" s="2" t="s">
        <v>955</v>
      </c>
      <c r="U58" s="2" t="s">
        <v>956</v>
      </c>
      <c r="V58" s="2" t="s">
        <v>842</v>
      </c>
      <c r="W58" s="2" t="s">
        <v>957</v>
      </c>
    </row>
    <row r="59" spans="1:23" ht="68.099999999999994" customHeight="1">
      <c r="A59" s="2" t="s">
        <v>842</v>
      </c>
      <c r="B59" s="2">
        <v>58</v>
      </c>
      <c r="C59" s="2" t="s">
        <v>958</v>
      </c>
      <c r="D59" s="2" t="s">
        <v>959</v>
      </c>
      <c r="E59" s="2" t="s">
        <v>26</v>
      </c>
      <c r="F59" s="2" t="s">
        <v>361</v>
      </c>
      <c r="G59" s="2" t="s">
        <v>960</v>
      </c>
      <c r="H59" s="2" t="s">
        <v>961</v>
      </c>
      <c r="I59" s="2" t="s">
        <v>30</v>
      </c>
      <c r="J59" s="2" t="s">
        <v>842</v>
      </c>
      <c r="K59" s="2" t="s">
        <v>962</v>
      </c>
      <c r="L59" s="2" t="s">
        <v>963</v>
      </c>
      <c r="M59" s="2" t="s">
        <v>964</v>
      </c>
      <c r="N59" s="2" t="s">
        <v>965</v>
      </c>
      <c r="O59" s="2" t="s">
        <v>966</v>
      </c>
      <c r="P59" s="2" t="s">
        <v>967</v>
      </c>
      <c r="Q59" s="2" t="s">
        <v>968</v>
      </c>
      <c r="R59" s="2" t="s">
        <v>873</v>
      </c>
      <c r="S59" s="2" t="s">
        <v>969</v>
      </c>
      <c r="T59" s="2" t="s">
        <v>970</v>
      </c>
      <c r="U59" s="2" t="s">
        <v>908</v>
      </c>
      <c r="V59" s="2" t="s">
        <v>842</v>
      </c>
      <c r="W59" s="2" t="s">
        <v>971</v>
      </c>
    </row>
    <row r="60" spans="1:23" ht="68.099999999999994" customHeight="1">
      <c r="A60" s="2" t="s">
        <v>842</v>
      </c>
      <c r="B60" s="2">
        <v>59</v>
      </c>
      <c r="C60" s="2" t="s">
        <v>972</v>
      </c>
      <c r="D60" s="2" t="s">
        <v>973</v>
      </c>
      <c r="E60" s="2" t="s">
        <v>26</v>
      </c>
      <c r="F60" s="2" t="s">
        <v>361</v>
      </c>
      <c r="G60" s="2" t="s">
        <v>974</v>
      </c>
      <c r="H60" s="2" t="s">
        <v>975</v>
      </c>
      <c r="I60" s="2" t="s">
        <v>30</v>
      </c>
      <c r="J60" s="2" t="s">
        <v>842</v>
      </c>
      <c r="K60" s="2" t="s">
        <v>976</v>
      </c>
      <c r="L60" s="2" t="s">
        <v>977</v>
      </c>
      <c r="M60" s="2" t="s">
        <v>978</v>
      </c>
      <c r="N60" s="2" t="s">
        <v>979</v>
      </c>
      <c r="O60" s="2" t="s">
        <v>980</v>
      </c>
      <c r="P60" s="2" t="s">
        <v>204</v>
      </c>
      <c r="Q60" s="2" t="s">
        <v>981</v>
      </c>
      <c r="R60" s="2" t="s">
        <v>982</v>
      </c>
      <c r="S60" s="2" t="s">
        <v>983</v>
      </c>
      <c r="T60" s="2" t="s">
        <v>984</v>
      </c>
      <c r="U60" s="2" t="s">
        <v>956</v>
      </c>
      <c r="V60" s="2" t="s">
        <v>842</v>
      </c>
      <c r="W60" s="2" t="s">
        <v>985</v>
      </c>
    </row>
    <row r="61" spans="1:23" ht="68.099999999999994" customHeight="1">
      <c r="A61" s="2" t="s">
        <v>842</v>
      </c>
      <c r="B61" s="2">
        <v>60</v>
      </c>
      <c r="C61" s="2" t="s">
        <v>986</v>
      </c>
      <c r="D61" s="2" t="s">
        <v>987</v>
      </c>
      <c r="E61" s="2" t="s">
        <v>464</v>
      </c>
      <c r="F61" s="2" t="s">
        <v>361</v>
      </c>
      <c r="G61" s="2" t="s">
        <v>988</v>
      </c>
      <c r="H61" s="2" t="s">
        <v>989</v>
      </c>
      <c r="I61" s="2" t="s">
        <v>30</v>
      </c>
      <c r="J61" s="2" t="s">
        <v>842</v>
      </c>
      <c r="K61" s="2" t="s">
        <v>990</v>
      </c>
      <c r="L61" s="2" t="s">
        <v>991</v>
      </c>
      <c r="M61" s="2" t="s">
        <v>992</v>
      </c>
      <c r="N61" s="2" t="s">
        <v>993</v>
      </c>
      <c r="O61" s="2" t="s">
        <v>994</v>
      </c>
      <c r="P61" s="2" t="s">
        <v>995</v>
      </c>
      <c r="Q61" s="2" t="s">
        <v>996</v>
      </c>
      <c r="R61" s="2" t="s">
        <v>997</v>
      </c>
      <c r="S61" s="2" t="s">
        <v>998</v>
      </c>
      <c r="T61" s="2" t="s">
        <v>999</v>
      </c>
      <c r="U61" s="2" t="s">
        <v>1000</v>
      </c>
      <c r="V61" s="2" t="s">
        <v>842</v>
      </c>
      <c r="W61" s="2" t="s">
        <v>1001</v>
      </c>
    </row>
  </sheetData>
  <conditionalFormatting sqref="V2:V61">
    <cfRule type="expression" dxfId="7" priority="1">
      <formula>LEFT($V2,4)="High"</formula>
    </cfRule>
    <cfRule type="expression" dxfId="6" priority="2">
      <formula>LEFT($V2,6)="Medium"</formula>
    </cfRule>
    <cfRule type="expression" dxfId="5" priority="3">
      <formula>LEFT($V2,3)="Low"</formula>
    </cfRule>
    <cfRule type="expression" dxfId="4" priority="4">
      <formula>LEFT($V2,6)="Backup"</formula>
    </cfRule>
    <cfRule type="expression" dxfId="3" priority="5">
      <formula>LEFT($V2,6)="Locked"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4.25"/>
  <cols>
    <col min="1" max="1" width="24" customWidth="1"/>
    <col min="2" max="2" width="70" customWidth="1"/>
  </cols>
  <sheetData>
    <row r="1" spans="1:2" ht="72">
      <c r="A1" s="3" t="s">
        <v>1002</v>
      </c>
      <c r="B1" s="3"/>
    </row>
    <row r="2" spans="1:2">
      <c r="A2" t="s">
        <v>1003</v>
      </c>
      <c r="B2">
        <v>50</v>
      </c>
    </row>
    <row r="3" spans="1:2">
      <c r="A3" t="s">
        <v>1004</v>
      </c>
      <c r="B3">
        <v>10</v>
      </c>
    </row>
    <row r="4" spans="1:2">
      <c r="A4" t="s">
        <v>1005</v>
      </c>
      <c r="B4" t="s">
        <v>1006</v>
      </c>
    </row>
    <row r="5" spans="1:2">
      <c r="A5" t="s">
        <v>1007</v>
      </c>
      <c r="B5">
        <v>20</v>
      </c>
    </row>
    <row r="6" spans="1:2">
      <c r="A6" t="s">
        <v>1008</v>
      </c>
      <c r="B6">
        <v>4</v>
      </c>
    </row>
    <row r="7" spans="1:2">
      <c r="A7" t="s">
        <v>1009</v>
      </c>
      <c r="B7" t="s">
        <v>1010</v>
      </c>
    </row>
    <row r="8" spans="1:2">
      <c r="A8" t="s">
        <v>1011</v>
      </c>
      <c r="B8" t="s">
        <v>1012</v>
      </c>
    </row>
    <row r="10" spans="1:2" ht="15">
      <c r="A10" s="5" t="s">
        <v>1013</v>
      </c>
      <c r="B10" t="s">
        <v>1014</v>
      </c>
    </row>
    <row r="11" spans="1:2" ht="15">
      <c r="A11" s="5" t="s">
        <v>1015</v>
      </c>
      <c r="B11" t="s">
        <v>1016</v>
      </c>
    </row>
    <row r="12" spans="1:2" ht="15">
      <c r="A12" s="5" t="s">
        <v>1017</v>
      </c>
      <c r="B12" t="s">
        <v>1018</v>
      </c>
    </row>
    <row r="13" spans="1:2" ht="15">
      <c r="A13" s="5" t="s">
        <v>1019</v>
      </c>
      <c r="B13" t="s">
        <v>1020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/>
  </sheetViews>
  <sheetFormatPr defaultRowHeight="14.25"/>
  <cols>
    <col min="1" max="1" width="36" customWidth="1"/>
    <col min="2" max="2" width="70" customWidth="1"/>
    <col min="3" max="3" width="50" customWidth="1"/>
  </cols>
  <sheetData>
    <row r="1" spans="1:3" ht="15">
      <c r="A1" s="4" t="s">
        <v>1021</v>
      </c>
      <c r="B1" s="4" t="s">
        <v>1022</v>
      </c>
      <c r="C1" s="4" t="s">
        <v>1023</v>
      </c>
    </row>
    <row r="2" spans="1:3">
      <c r="A2" s="1" t="s">
        <v>1024</v>
      </c>
      <c r="B2" s="1" t="s">
        <v>30</v>
      </c>
      <c r="C2" s="1" t="s">
        <v>1025</v>
      </c>
    </row>
    <row r="3" spans="1:3" ht="28.5">
      <c r="A3" s="1" t="s">
        <v>1026</v>
      </c>
      <c r="B3" s="1" t="s">
        <v>279</v>
      </c>
      <c r="C3" s="1" t="s">
        <v>1027</v>
      </c>
    </row>
    <row r="4" spans="1:3">
      <c r="A4" s="1" t="s">
        <v>1028</v>
      </c>
      <c r="B4" s="1" t="s">
        <v>197</v>
      </c>
      <c r="C4" s="1" t="s">
        <v>1029</v>
      </c>
    </row>
    <row r="5" spans="1:3">
      <c r="A5" s="1" t="s">
        <v>1030</v>
      </c>
      <c r="B5" s="1" t="s">
        <v>449</v>
      </c>
      <c r="C5" s="1" t="s">
        <v>1031</v>
      </c>
    </row>
    <row r="6" spans="1:3">
      <c r="A6" s="1" t="s">
        <v>1032</v>
      </c>
      <c r="B6" s="1" t="s">
        <v>499</v>
      </c>
      <c r="C6" s="1" t="s">
        <v>1033</v>
      </c>
    </row>
    <row r="7" spans="1:3">
      <c r="A7" s="1" t="s">
        <v>1034</v>
      </c>
      <c r="B7" s="1" t="s">
        <v>610</v>
      </c>
      <c r="C7" s="1" t="s">
        <v>1035</v>
      </c>
    </row>
    <row r="8" spans="1:3">
      <c r="A8" s="1" t="s">
        <v>1036</v>
      </c>
      <c r="B8" s="1" t="s">
        <v>801</v>
      </c>
      <c r="C8" s="1" t="s">
        <v>1037</v>
      </c>
    </row>
    <row r="9" spans="1:3">
      <c r="A9" s="1" t="s">
        <v>1038</v>
      </c>
      <c r="B9" s="1" t="s">
        <v>413</v>
      </c>
      <c r="C9" s="1" t="s">
        <v>1039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topLeftCell="A7" workbookViewId="0"/>
  </sheetViews>
  <sheetFormatPr defaultRowHeight="14.25"/>
  <cols>
    <col min="1" max="1" width="24" customWidth="1"/>
    <col min="2" max="2" width="26" customWidth="1"/>
    <col min="3" max="3" width="30" customWidth="1"/>
    <col min="4" max="4" width="38" customWidth="1"/>
    <col min="5" max="5" width="48" customWidth="1"/>
    <col min="6" max="6" width="34" customWidth="1"/>
    <col min="7" max="7" width="36" customWidth="1"/>
    <col min="8" max="8" width="42" customWidth="1"/>
    <col min="9" max="9" width="16" customWidth="1"/>
  </cols>
  <sheetData>
    <row r="1" spans="1:9" ht="33.950000000000003" customHeight="1">
      <c r="A1" s="6" t="s">
        <v>0</v>
      </c>
      <c r="B1" s="6" t="s">
        <v>1040</v>
      </c>
      <c r="C1" s="6" t="s">
        <v>1041</v>
      </c>
      <c r="D1" s="6" t="s">
        <v>1042</v>
      </c>
      <c r="E1" s="6" t="s">
        <v>1043</v>
      </c>
      <c r="F1" s="6" t="s">
        <v>12</v>
      </c>
      <c r="G1" s="6" t="s">
        <v>1044</v>
      </c>
      <c r="H1" s="6" t="s">
        <v>1045</v>
      </c>
      <c r="I1" s="6" t="s">
        <v>21</v>
      </c>
    </row>
    <row r="2" spans="1:9" ht="87.95" customHeight="1">
      <c r="A2" s="2" t="s">
        <v>23</v>
      </c>
      <c r="B2" s="2" t="s">
        <v>1046</v>
      </c>
      <c r="C2" s="2" t="s">
        <v>1047</v>
      </c>
      <c r="D2" s="2" t="s">
        <v>1048</v>
      </c>
      <c r="E2" s="2" t="s">
        <v>1049</v>
      </c>
      <c r="F2" s="2" t="s">
        <v>1050</v>
      </c>
      <c r="G2" s="2" t="s">
        <v>1051</v>
      </c>
      <c r="H2" s="2" t="s">
        <v>1052</v>
      </c>
      <c r="I2" s="2" t="s">
        <v>210</v>
      </c>
    </row>
    <row r="3" spans="1:9" ht="87.95" customHeight="1">
      <c r="A3" s="2" t="s">
        <v>109</v>
      </c>
      <c r="B3" s="2" t="s">
        <v>1053</v>
      </c>
      <c r="C3" s="2" t="s">
        <v>1054</v>
      </c>
      <c r="D3" s="2" t="s">
        <v>1055</v>
      </c>
      <c r="E3" s="2" t="s">
        <v>1056</v>
      </c>
      <c r="F3" s="2" t="s">
        <v>1057</v>
      </c>
      <c r="G3" s="2" t="s">
        <v>1058</v>
      </c>
      <c r="H3" s="2" t="s">
        <v>1059</v>
      </c>
      <c r="I3" s="2" t="s">
        <v>210</v>
      </c>
    </row>
    <row r="4" spans="1:9" ht="87.95" customHeight="1">
      <c r="A4" s="2" t="s">
        <v>190</v>
      </c>
      <c r="B4" s="2" t="s">
        <v>1060</v>
      </c>
      <c r="C4" s="2" t="s">
        <v>1061</v>
      </c>
      <c r="D4" s="2" t="s">
        <v>1062</v>
      </c>
      <c r="E4" s="2" t="s">
        <v>1063</v>
      </c>
      <c r="F4" s="2" t="s">
        <v>1064</v>
      </c>
      <c r="G4" s="2" t="s">
        <v>1065</v>
      </c>
      <c r="H4" s="2" t="s">
        <v>1066</v>
      </c>
      <c r="I4" s="2" t="s">
        <v>210</v>
      </c>
    </row>
    <row r="5" spans="1:9" ht="87.95" customHeight="1">
      <c r="A5" s="2" t="s">
        <v>274</v>
      </c>
      <c r="B5" s="2" t="s">
        <v>1067</v>
      </c>
      <c r="C5" s="2" t="s">
        <v>1068</v>
      </c>
      <c r="D5" s="2" t="s">
        <v>1069</v>
      </c>
      <c r="E5" s="2" t="s">
        <v>1070</v>
      </c>
      <c r="F5" s="2" t="s">
        <v>1071</v>
      </c>
      <c r="G5" s="2" t="s">
        <v>1072</v>
      </c>
      <c r="H5" s="2" t="s">
        <v>1073</v>
      </c>
      <c r="I5" s="2" t="s">
        <v>291</v>
      </c>
    </row>
    <row r="6" spans="1:9" ht="87.95" customHeight="1">
      <c r="A6" s="2" t="s">
        <v>358</v>
      </c>
      <c r="B6" s="2" t="s">
        <v>1074</v>
      </c>
      <c r="C6" s="2" t="s">
        <v>1075</v>
      </c>
      <c r="D6" s="2" t="s">
        <v>1076</v>
      </c>
      <c r="E6" s="2" t="s">
        <v>1077</v>
      </c>
      <c r="F6" s="2" t="s">
        <v>1078</v>
      </c>
      <c r="G6" s="2" t="s">
        <v>1079</v>
      </c>
      <c r="H6" s="2" t="s">
        <v>1080</v>
      </c>
      <c r="I6" s="2" t="s">
        <v>291</v>
      </c>
    </row>
    <row r="7" spans="1:9" ht="87.95" customHeight="1">
      <c r="A7" s="2" t="s">
        <v>444</v>
      </c>
      <c r="B7" s="2" t="s">
        <v>1081</v>
      </c>
      <c r="C7" s="2" t="s">
        <v>1082</v>
      </c>
      <c r="D7" s="2" t="s">
        <v>1083</v>
      </c>
      <c r="E7" s="2" t="s">
        <v>1084</v>
      </c>
      <c r="F7" s="2" t="s">
        <v>1085</v>
      </c>
      <c r="G7" s="2" t="s">
        <v>1086</v>
      </c>
      <c r="H7" s="2" t="s">
        <v>1087</v>
      </c>
      <c r="I7" s="2" t="s">
        <v>291</v>
      </c>
    </row>
    <row r="8" spans="1:9" ht="87.95" customHeight="1">
      <c r="A8" s="2" t="s">
        <v>527</v>
      </c>
      <c r="B8" s="2" t="s">
        <v>1088</v>
      </c>
      <c r="C8" s="2" t="s">
        <v>1089</v>
      </c>
      <c r="D8" s="2" t="s">
        <v>1090</v>
      </c>
      <c r="E8" s="2" t="s">
        <v>1091</v>
      </c>
      <c r="F8" s="2" t="s">
        <v>1092</v>
      </c>
      <c r="G8" s="2" t="s">
        <v>1093</v>
      </c>
      <c r="H8" s="2" t="s">
        <v>1094</v>
      </c>
      <c r="I8" s="2" t="s">
        <v>291</v>
      </c>
    </row>
    <row r="9" spans="1:9" ht="87.95" customHeight="1">
      <c r="A9" s="2" t="s">
        <v>604</v>
      </c>
      <c r="B9" s="2" t="s">
        <v>1095</v>
      </c>
      <c r="C9" s="2" t="s">
        <v>1096</v>
      </c>
      <c r="D9" s="2" t="s">
        <v>1097</v>
      </c>
      <c r="E9" s="2" t="s">
        <v>1098</v>
      </c>
      <c r="F9" s="2" t="s">
        <v>1099</v>
      </c>
      <c r="G9" s="2" t="s">
        <v>1100</v>
      </c>
      <c r="H9" s="2" t="s">
        <v>1101</v>
      </c>
      <c r="I9" s="2" t="s">
        <v>291</v>
      </c>
    </row>
    <row r="10" spans="1:9" ht="87.95" customHeight="1">
      <c r="A10" s="2" t="s">
        <v>686</v>
      </c>
      <c r="B10" s="2" t="s">
        <v>1102</v>
      </c>
      <c r="C10" s="2" t="s">
        <v>1103</v>
      </c>
      <c r="D10" s="2" t="s">
        <v>1104</v>
      </c>
      <c r="E10" s="2" t="s">
        <v>1105</v>
      </c>
      <c r="F10" s="2" t="s">
        <v>1106</v>
      </c>
      <c r="G10" s="2" t="s">
        <v>1107</v>
      </c>
      <c r="H10" s="2" t="s">
        <v>1108</v>
      </c>
      <c r="I10" s="2" t="s">
        <v>291</v>
      </c>
    </row>
    <row r="11" spans="1:9" ht="87.95" customHeight="1">
      <c r="A11" s="2" t="s">
        <v>764</v>
      </c>
      <c r="B11" s="2" t="s">
        <v>1109</v>
      </c>
      <c r="C11" s="2" t="s">
        <v>1110</v>
      </c>
      <c r="D11" s="2" t="s">
        <v>1111</v>
      </c>
      <c r="E11" s="2" t="s">
        <v>1112</v>
      </c>
      <c r="F11" s="2" t="s">
        <v>1113</v>
      </c>
      <c r="G11" s="2" t="s">
        <v>1114</v>
      </c>
      <c r="H11" s="2" t="s">
        <v>1115</v>
      </c>
      <c r="I11" s="2" t="s">
        <v>210</v>
      </c>
    </row>
  </sheetData>
  <conditionalFormatting sqref="I2:I11">
    <cfRule type="expression" dxfId="2" priority="1">
      <formula>$I2="High"</formula>
    </cfRule>
    <cfRule type="expression" dxfId="1" priority="2">
      <formula>$I2="Medium"</formula>
    </cfRule>
    <cfRule type="expression" dxfId="0" priority="3">
      <formula>$I2="Low"</formula>
    </cfRule>
  </conditionalFormatting>
  <dataValidations count="1">
    <dataValidation type="list" sqref="I2:I11" xr:uid="{00000000-0002-0000-0300-000000000000}">
      <formula1>"High,Medium,Low"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1"/>
  <sheetViews>
    <sheetView workbookViewId="0"/>
  </sheetViews>
  <sheetFormatPr defaultRowHeight="14.25"/>
  <cols>
    <col min="1" max="1" width="22" customWidth="1"/>
    <col min="2" max="2" width="30" customWidth="1"/>
    <col min="3" max="3" width="44" customWidth="1"/>
    <col min="4" max="4" width="30" customWidth="1"/>
    <col min="5" max="5" width="34" customWidth="1"/>
    <col min="6" max="7" width="36" customWidth="1"/>
  </cols>
  <sheetData>
    <row r="1" spans="1:7" ht="32.1" customHeight="1">
      <c r="A1" s="6" t="s">
        <v>1116</v>
      </c>
      <c r="B1" s="6" t="s">
        <v>1117</v>
      </c>
      <c r="C1" s="6" t="s">
        <v>1118</v>
      </c>
      <c r="D1" s="6" t="s">
        <v>1119</v>
      </c>
      <c r="E1" s="6" t="s">
        <v>1120</v>
      </c>
      <c r="F1" s="6" t="s">
        <v>1121</v>
      </c>
      <c r="G1" s="6" t="s">
        <v>1011</v>
      </c>
    </row>
    <row r="2" spans="1:7" ht="78" customHeight="1">
      <c r="A2" s="2" t="s">
        <v>1122</v>
      </c>
      <c r="B2" s="2" t="s">
        <v>1123</v>
      </c>
      <c r="C2" s="2" t="s">
        <v>1124</v>
      </c>
      <c r="D2" s="2" t="s">
        <v>1125</v>
      </c>
      <c r="E2" s="2" t="s">
        <v>1126</v>
      </c>
      <c r="F2" s="2" t="s">
        <v>1127</v>
      </c>
      <c r="G2" s="2" t="s">
        <v>1128</v>
      </c>
    </row>
    <row r="3" spans="1:7" ht="78" customHeight="1">
      <c r="A3" s="2" t="s">
        <v>81</v>
      </c>
      <c r="B3" s="2" t="s">
        <v>1129</v>
      </c>
      <c r="C3" s="2" t="s">
        <v>1130</v>
      </c>
      <c r="D3" s="2" t="s">
        <v>1131</v>
      </c>
      <c r="E3" s="2" t="s">
        <v>1132</v>
      </c>
      <c r="F3" s="2" t="s">
        <v>1133</v>
      </c>
      <c r="G3" s="2" t="s">
        <v>1134</v>
      </c>
    </row>
    <row r="4" spans="1:7" ht="78" customHeight="1">
      <c r="A4" s="2" t="s">
        <v>1135</v>
      </c>
      <c r="B4" s="2" t="s">
        <v>1136</v>
      </c>
      <c r="C4" s="2" t="s">
        <v>1137</v>
      </c>
      <c r="D4" s="2" t="s">
        <v>1138</v>
      </c>
      <c r="E4" s="2" t="s">
        <v>1139</v>
      </c>
      <c r="F4" s="2" t="s">
        <v>1140</v>
      </c>
      <c r="G4" s="2" t="s">
        <v>1141</v>
      </c>
    </row>
    <row r="5" spans="1:7" ht="78" customHeight="1">
      <c r="A5" s="2" t="s">
        <v>65</v>
      </c>
      <c r="B5" s="2" t="s">
        <v>1142</v>
      </c>
      <c r="C5" s="2" t="s">
        <v>1143</v>
      </c>
      <c r="D5" s="2" t="s">
        <v>1144</v>
      </c>
      <c r="E5" s="2" t="s">
        <v>1145</v>
      </c>
      <c r="F5" s="2" t="s">
        <v>1146</v>
      </c>
      <c r="G5" s="2" t="s">
        <v>1147</v>
      </c>
    </row>
    <row r="6" spans="1:7" ht="78" customHeight="1">
      <c r="A6" s="2" t="s">
        <v>1148</v>
      </c>
      <c r="B6" s="2" t="s">
        <v>1149</v>
      </c>
      <c r="C6" s="2" t="s">
        <v>1150</v>
      </c>
      <c r="D6" s="2" t="s">
        <v>1151</v>
      </c>
      <c r="E6" s="2" t="s">
        <v>1152</v>
      </c>
      <c r="F6" s="2" t="s">
        <v>1153</v>
      </c>
      <c r="G6" s="2" t="s">
        <v>1154</v>
      </c>
    </row>
    <row r="7" spans="1:7" ht="78" customHeight="1">
      <c r="A7" s="2" t="s">
        <v>1155</v>
      </c>
      <c r="B7" s="2" t="s">
        <v>1156</v>
      </c>
      <c r="C7" s="2" t="s">
        <v>1157</v>
      </c>
      <c r="D7" s="2" t="s">
        <v>1158</v>
      </c>
      <c r="E7" s="2" t="s">
        <v>1159</v>
      </c>
      <c r="F7" s="2" t="s">
        <v>1160</v>
      </c>
      <c r="G7" s="2" t="s">
        <v>1161</v>
      </c>
    </row>
    <row r="8" spans="1:7" ht="78" customHeight="1">
      <c r="A8" s="2" t="s">
        <v>1162</v>
      </c>
      <c r="B8" s="2" t="s">
        <v>1163</v>
      </c>
      <c r="C8" s="2" t="s">
        <v>1164</v>
      </c>
      <c r="D8" s="2" t="s">
        <v>1165</v>
      </c>
      <c r="E8" s="2" t="s">
        <v>1166</v>
      </c>
      <c r="F8" s="2" t="s">
        <v>1167</v>
      </c>
      <c r="G8" s="2" t="s">
        <v>1168</v>
      </c>
    </row>
    <row r="9" spans="1:7" ht="78" customHeight="1">
      <c r="A9" s="2" t="s">
        <v>1169</v>
      </c>
      <c r="B9" s="2" t="s">
        <v>1170</v>
      </c>
      <c r="C9" s="2" t="s">
        <v>1171</v>
      </c>
      <c r="D9" s="2" t="s">
        <v>1172</v>
      </c>
      <c r="E9" s="2" t="s">
        <v>1173</v>
      </c>
      <c r="F9" s="2" t="s">
        <v>1174</v>
      </c>
      <c r="G9" s="2" t="s">
        <v>1175</v>
      </c>
    </row>
    <row r="10" spans="1:7" ht="78" customHeight="1">
      <c r="A10" s="2" t="s">
        <v>1176</v>
      </c>
      <c r="B10" s="2" t="s">
        <v>1177</v>
      </c>
      <c r="C10" s="2" t="s">
        <v>1178</v>
      </c>
      <c r="D10" s="2" t="s">
        <v>1179</v>
      </c>
      <c r="E10" s="2" t="s">
        <v>1180</v>
      </c>
      <c r="F10" s="2" t="s">
        <v>1181</v>
      </c>
      <c r="G10" s="2" t="s">
        <v>1182</v>
      </c>
    </row>
    <row r="11" spans="1:7" ht="78" customHeight="1">
      <c r="A11" s="2" t="s">
        <v>1183</v>
      </c>
      <c r="B11" s="2" t="s">
        <v>1184</v>
      </c>
      <c r="C11" s="2" t="s">
        <v>1185</v>
      </c>
      <c r="D11" s="2" t="s">
        <v>1186</v>
      </c>
      <c r="E11" s="2" t="s">
        <v>1187</v>
      </c>
      <c r="F11" s="2" t="s">
        <v>1188</v>
      </c>
      <c r="G11" s="2" t="s">
        <v>1189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"/>
  <sheetViews>
    <sheetView workbookViewId="0">
      <selection sqref="A1:H1"/>
    </sheetView>
  </sheetViews>
  <sheetFormatPr defaultRowHeight="14.25"/>
  <cols>
    <col min="1" max="2" width="28" customWidth="1"/>
    <col min="4" max="5" width="20" customWidth="1"/>
  </cols>
  <sheetData>
    <row r="1" spans="1:8" ht="15.75">
      <c r="A1" s="7" t="s">
        <v>1190</v>
      </c>
      <c r="B1" s="8"/>
      <c r="C1" s="8"/>
      <c r="D1" s="8"/>
      <c r="E1" s="8"/>
      <c r="F1" s="8"/>
      <c r="G1" s="8"/>
      <c r="H1" s="8"/>
    </row>
    <row r="2" spans="1:8">
      <c r="A2" s="1"/>
      <c r="B2" s="1"/>
      <c r="C2" s="1"/>
      <c r="D2" s="1"/>
      <c r="E2" s="1"/>
      <c r="F2" s="1"/>
      <c r="G2" s="1"/>
      <c r="H2" s="1"/>
    </row>
    <row r="3" spans="1:8" ht="15">
      <c r="A3" s="6" t="s">
        <v>1191</v>
      </c>
      <c r="B3" s="6" t="s">
        <v>1192</v>
      </c>
      <c r="C3" s="2"/>
      <c r="D3" s="6" t="s">
        <v>1193</v>
      </c>
      <c r="E3" s="6" t="s">
        <v>1194</v>
      </c>
      <c r="F3" s="1"/>
      <c r="G3" s="1"/>
      <c r="H3" s="1"/>
    </row>
    <row r="4" spans="1:8">
      <c r="A4" s="2" t="s">
        <v>1195</v>
      </c>
      <c r="B4" s="2">
        <f>COUNTA('50 Villain Plan'!$B$2:$B$61)</f>
        <v>60</v>
      </c>
      <c r="C4" s="2"/>
      <c r="D4" s="2" t="s">
        <v>43</v>
      </c>
      <c r="E4" s="2">
        <f>COUNTIF('50 Villain Plan'!$V$2:$V$61,D4)</f>
        <v>10</v>
      </c>
      <c r="F4" s="1"/>
      <c r="G4" s="1"/>
      <c r="H4" s="1"/>
    </row>
    <row r="5" spans="1:8">
      <c r="A5" s="2" t="s">
        <v>1003</v>
      </c>
      <c r="B5" s="2">
        <f>COUNTIF('50 Villain Plan'!$A$2:$A$61,"&lt;&gt;Backup")</f>
        <v>50</v>
      </c>
      <c r="C5" s="2"/>
      <c r="D5" s="2" t="s">
        <v>210</v>
      </c>
      <c r="E5" s="2">
        <f>COUNTIF('50 Villain Plan'!$V$2:$V$61,D5)</f>
        <v>15</v>
      </c>
      <c r="F5" s="1"/>
      <c r="G5" s="1"/>
      <c r="H5" s="1"/>
    </row>
    <row r="6" spans="1:8">
      <c r="A6" s="2" t="s">
        <v>1004</v>
      </c>
      <c r="B6" s="2">
        <f>COUNTIF('50 Villain Plan'!$A$2:$A$61,"Backup")</f>
        <v>10</v>
      </c>
      <c r="C6" s="2"/>
      <c r="D6" s="2" t="s">
        <v>291</v>
      </c>
      <c r="E6" s="2">
        <f>COUNTIF('50 Villain Plan'!$V$2:$V$61,D6)</f>
        <v>22</v>
      </c>
      <c r="F6" s="1"/>
      <c r="G6" s="1"/>
      <c r="H6" s="1"/>
    </row>
    <row r="7" spans="1:8">
      <c r="A7" s="2" t="s">
        <v>1196</v>
      </c>
      <c r="B7" s="2">
        <f>COUNTIF('50 Villain Plan'!$V$2:$V$61,"High")</f>
        <v>15</v>
      </c>
      <c r="C7" s="2"/>
      <c r="D7" s="2" t="s">
        <v>442</v>
      </c>
      <c r="E7" s="2">
        <f>COUNTIF('50 Villain Plan'!$V$2:$V$61,D7)</f>
        <v>2</v>
      </c>
      <c r="F7" s="1"/>
      <c r="G7" s="1"/>
      <c r="H7" s="1"/>
    </row>
    <row r="8" spans="1:8">
      <c r="A8" s="2" t="s">
        <v>1197</v>
      </c>
      <c r="B8" s="2">
        <f>COUNTIF('50 Villain Plan'!$V$2:$V$61,"Locked / polish")</f>
        <v>10</v>
      </c>
      <c r="C8" s="2"/>
      <c r="D8" s="2" t="s">
        <v>684</v>
      </c>
      <c r="E8" s="2">
        <f>COUNTIF('50 Villain Plan'!$V$2:$V$61,D8)</f>
        <v>1</v>
      </c>
      <c r="F8" s="1"/>
      <c r="G8" s="1"/>
      <c r="H8" s="1"/>
    </row>
    <row r="9" spans="1:8">
      <c r="A9" s="2"/>
      <c r="B9" s="2"/>
      <c r="C9" s="2"/>
      <c r="D9" s="2" t="s">
        <v>842</v>
      </c>
      <c r="E9" s="2">
        <f>COUNTIF('50 Villain Plan'!$V$2:$V$61,D9)</f>
        <v>8</v>
      </c>
      <c r="F9" s="1"/>
      <c r="G9" s="1"/>
      <c r="H9" s="1"/>
    </row>
    <row r="10" spans="1:8">
      <c r="A10" s="2"/>
      <c r="B10" s="2"/>
      <c r="C10" s="2"/>
      <c r="D10" s="2" t="s">
        <v>892</v>
      </c>
      <c r="E10" s="2">
        <f>COUNTIF('50 Villain Plan'!$V$2:$V$61,D10)</f>
        <v>2</v>
      </c>
      <c r="F10" s="1"/>
      <c r="G10" s="1"/>
      <c r="H10" s="1"/>
    </row>
    <row r="12" spans="1:8">
      <c r="A12" s="9" t="s">
        <v>1198</v>
      </c>
      <c r="B12" s="10"/>
      <c r="C12" s="10"/>
      <c r="D12" s="10"/>
      <c r="E12" s="10"/>
      <c r="F12" s="10"/>
      <c r="G12" s="10"/>
      <c r="H12" s="10"/>
    </row>
    <row r="13" spans="1:8" ht="110.1" customHeight="1">
      <c r="A13" s="11" t="s">
        <v>1199</v>
      </c>
      <c r="B13" s="10"/>
      <c r="C13" s="10"/>
      <c r="D13" s="10"/>
      <c r="E13" s="10"/>
      <c r="F13" s="10"/>
      <c r="G13" s="10"/>
      <c r="H13" s="10"/>
    </row>
    <row r="14" spans="1:8">
      <c r="A14" s="10" t="s">
        <v>1200</v>
      </c>
      <c r="B14" s="10"/>
      <c r="C14" s="10"/>
      <c r="D14" s="10"/>
      <c r="E14" s="10"/>
      <c r="F14" s="10"/>
      <c r="G14" s="10"/>
      <c r="H14" s="10"/>
    </row>
    <row r="15" spans="1:8">
      <c r="A15" s="10" t="s">
        <v>1201</v>
      </c>
      <c r="B15" s="10"/>
      <c r="C15" s="10"/>
      <c r="D15" s="10"/>
      <c r="E15" s="10"/>
      <c r="F15" s="10"/>
      <c r="G15" s="10"/>
      <c r="H15" s="10"/>
    </row>
    <row r="16" spans="1:8">
      <c r="A16" s="10" t="s">
        <v>1202</v>
      </c>
      <c r="B16" s="10"/>
      <c r="C16" s="10"/>
      <c r="D16" s="10"/>
      <c r="E16" s="10"/>
      <c r="F16" s="10"/>
      <c r="G16" s="10"/>
      <c r="H16" s="10"/>
    </row>
    <row r="17" spans="1:8">
      <c r="A17" s="10" t="s">
        <v>1203</v>
      </c>
      <c r="B17" s="10"/>
      <c r="C17" s="10"/>
      <c r="D17" s="10"/>
      <c r="E17" s="10"/>
      <c r="F17" s="10"/>
      <c r="G17" s="10"/>
      <c r="H17" s="10"/>
    </row>
    <row r="18" spans="1:8">
      <c r="A18" s="10"/>
      <c r="B18" s="10"/>
      <c r="C18" s="10"/>
      <c r="D18" s="10"/>
      <c r="E18" s="10"/>
      <c r="F18" s="10"/>
      <c r="G18" s="10"/>
      <c r="H18" s="10"/>
    </row>
  </sheetData>
  <mergeCells count="3">
    <mergeCell ref="A1:H1"/>
    <mergeCell ref="A12:H12"/>
    <mergeCell ref="A13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50 Villain Plan</vt:lpstr>
      <vt:lpstr>Summary</vt:lpstr>
      <vt:lpstr>Sources</vt:lpstr>
      <vt:lpstr>Mini-Wizards</vt:lpstr>
      <vt:lpstr>Mechanic Templates</vt:lpstr>
      <vt:lpstr>Design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Incitti</dc:creator>
  <cp:lastModifiedBy>Marco Incitti</cp:lastModifiedBy>
  <dcterms:modified xsi:type="dcterms:W3CDTF">2026-06-10T20:37:52Z</dcterms:modified>
</cp:coreProperties>
</file>